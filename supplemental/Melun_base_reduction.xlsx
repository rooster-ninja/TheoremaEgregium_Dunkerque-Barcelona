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lun reduc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8" authorId="0">
      <text>
        <r>
          <rPr>
            <sz val="10"/>
            <rFont val="Arial"/>
            <family val="2"/>
          </rPr>
          <t xml:space="preserve">Should be ~0 (the printed total carries one extra digit, 6075.93236.35). Delambre writes the 6th/7th decimals after a second dot (0.00057.8 = 0.000578). Corrected 22 Oct 2026: C13 was 0.0000578, C15 was −0.0001788.</t>
        </r>
      </text>
    </comment>
    <comment ref="C46" authorId="0">
      <text>
        <r>
          <rPr>
            <sz val="10"/>
            <rFont val="Arial"/>
            <family val="2"/>
          </rPr>
          <t xml:space="preserve">Discrepancy in the source: 3021 placements on p. 41, 3038 rulers on p. 44. Using 3021 would reduce the correction by 0.0014 toise (2.7 mm).</t>
        </r>
      </text>
    </comment>
    <comment ref="D30" authorId="0">
      <text>
        <r>
          <rPr>
            <sz val="10"/>
            <rFont val="Arial"/>
            <family val="2"/>
          </rPr>
          <t xml:space="preserve">Simple check: −L·h/R with mean height 41 toises (ends at 36.11 and 45.91). Delambre got −0.07615 this way and −0.07735 by splitting the base into seven arcs.</t>
        </r>
      </text>
    </comment>
    <comment ref="E36" authorId="0">
      <text>
        <r>
          <rPr>
            <sz val="10"/>
            <rFont val="Arial"/>
            <family val="2"/>
          </rPr>
          <t xml:space="preserve">Swaps in the formula-based values for steps 2, 4a, 4b, 7 and 8 (sea level kept as printed). Change R or the temperature inputs to see how the final arc moves.</t>
        </r>
      </text>
    </comment>
  </commentList>
</comments>
</file>

<file path=xl/sharedStrings.xml><?xml version="1.0" encoding="utf-8"?>
<sst xmlns="http://schemas.openxmlformats.org/spreadsheetml/2006/main" count="86" uniqueCount="84">
  <si>
    <t xml:space="preserve">Base de Melun (Melun–Lieusaint): reduction chain</t>
  </si>
  <si>
    <t xml:space="preserve">Source: Delambre, Base du système métrique décimal, Tome II (1807), pp. 41–44 (e-rara PDF pp. 828–831). Blue = value as printed by Delambre; black = formula.</t>
  </si>
  <si>
    <t xml:space="preserve">Notes: highlighted/annotated source pages are in Source_TII_p41-44_reduction_chain_annotated.pdf (red = open question, green = verified).</t>
  </si>
  <si>
    <t xml:space="preserve">Constants</t>
  </si>
  <si>
    <t xml:space="preserve">Metres per toise</t>
  </si>
  <si>
    <t xml:space="preserve">Legal metre = 443.295936 lignes; toise = 864 lignes (law of 1799)</t>
  </si>
  <si>
    <t xml:space="preserve">Earth radius R (toises)</t>
  </si>
  <si>
    <t xml:space="preserve">Assumption (≈6 366 km). Used only for the arc/chord and sea-level checks; edit to test sensitivity.</t>
  </si>
  <si>
    <t xml:space="preserve">Ruler length (toises)</t>
  </si>
  <si>
    <t xml:space="preserve">Each Borda platinum ruler = 2 toises</t>
  </si>
  <si>
    <t xml:space="preserve">Step 0: raw measurement (p. 41)</t>
  </si>
  <si>
    <t xml:space="preserve">Rulers laid (count)</t>
  </si>
  <si>
    <t xml:space="preserve">3021 placements</t>
  </si>
  <si>
    <t xml:space="preserve">Rulers × length</t>
  </si>
  <si>
    <t xml:space="preserve">Languettes (sum of gaps)</t>
  </si>
  <si>
    <t xml:space="preserve">Printed 34.26068.3</t>
  </si>
  <si>
    <t xml:space="preserve">Plumb-line thickness</t>
  </si>
  <si>
    <t xml:space="preserve">Printed +0.00057.8 = 0.000578 (one ligne-half cord, p. 41)</t>
  </si>
  <si>
    <t xml:space="preserve">Reduction to horizontal (slope)</t>
  </si>
  <si>
    <t xml:space="preserve">Printed −0.32711.0</t>
  </si>
  <si>
    <t xml:space="preserve">Reduction of languettes</t>
  </si>
  <si>
    <t xml:space="preserve">Printed −178.8 in the 5-decimal column = 0.001788</t>
  </si>
  <si>
    <t xml:space="preserve">Sum of components</t>
  </si>
  <si>
    <t xml:space="preserve">Base mesurée, as printed</t>
  </si>
  <si>
    <t xml:space="preserve">Difference (components − printed)</t>
  </si>
  <si>
    <t xml:space="preserve">Reduction chain</t>
  </si>
  <si>
    <t xml:space="preserve">Step</t>
  </si>
  <si>
    <t xml:space="preserve">Correction</t>
  </si>
  <si>
    <t xml:space="preserve">Printed (toises)</t>
  </si>
  <si>
    <t xml:space="preserve">Recomputed (toises)</t>
  </si>
  <si>
    <t xml:space="preserve">Running total (toises)</t>
  </si>
  <si>
    <t xml:space="preserve">Running total (m)</t>
  </si>
  <si>
    <t xml:space="preserve">Delambre's wording / page</t>
  </si>
  <si>
    <t xml:space="preserve">0</t>
  </si>
  <si>
    <t xml:space="preserve">Raw measurement (base mesurée)</t>
  </si>
  <si>
    <t xml:space="preserve">Base mesurée, p. 41</t>
  </si>
  <si>
    <t xml:space="preserve">1</t>
  </si>
  <si>
    <t xml:space="preserve">End overshoot: last ruler passed south marker</t>
  </si>
  <si>
    <t xml:space="preserve">1°, Réduction des articles précédens, p. 41/43</t>
  </si>
  <si>
    <t xml:space="preserve">2</t>
  </si>
  <si>
    <t xml:space="preserve">Broken line → straight line (bend 179°10′40.91″)</t>
  </si>
  <si>
    <t xml:space="preserve">2°, premier + second terme, p. 42</t>
  </si>
  <si>
    <t xml:space="preserve">3</t>
  </si>
  <si>
    <t xml:space="preserve">Sighting fix at the bend (EL vs EP+PL)</t>
  </si>
  <si>
    <t xml:space="preserve">3°, p. 42</t>
  </si>
  <si>
    <t xml:space="preserve">4a</t>
  </si>
  <si>
    <t xml:space="preserve">Arc → chord, part 1 (3 945 t)</t>
  </si>
  <si>
    <t xml:space="preserve">4°, −arc³/24R², p. 43</t>
  </si>
  <si>
    <t xml:space="preserve">4b</t>
  </si>
  <si>
    <t xml:space="preserve">Arc → chord, part 2 (2 131 t)</t>
  </si>
  <si>
    <t xml:space="preserve">4°, p. 43</t>
  </si>
  <si>
    <t xml:space="preserve">5</t>
  </si>
  <si>
    <t xml:space="preserve">Vernier error of the languettes</t>
  </si>
  <si>
    <t xml:space="preserve">Correction du vernier des languettes, p. 43</t>
  </si>
  <si>
    <t xml:space="preserve">=</t>
  </si>
  <si>
    <t xml:space="preserve">Base corrigée</t>
  </si>
  <si>
    <t xml:space="preserve">Printed 6075.72381.11, sum −0.20855.24, p. 43</t>
  </si>
  <si>
    <t xml:space="preserve">6</t>
  </si>
  <si>
    <t xml:space="preserve">Reduction to sea level (seven sections)</t>
  </si>
  <si>
    <t xml:space="preserve">Base au niveau de la mer 6075.64646, p. 43–44</t>
  </si>
  <si>
    <t xml:space="preserve">7</t>
  </si>
  <si>
    <t xml:space="preserve">Temperature: rulers to 13° Réaumur</t>
  </si>
  <si>
    <t xml:space="preserve">Réduction à 13° de Réaumur 0.24997, p. 44 (inputs below)</t>
  </si>
  <si>
    <t xml:space="preserve">Base at sea level, 13°, straight line (chord)</t>
  </si>
  <si>
    <t xml:space="preserve">Printed 6075.89643, p. 44</t>
  </si>
  <si>
    <t xml:space="preserve">8</t>
  </si>
  <si>
    <t xml:space="preserve">Chord → arc, whole base</t>
  </si>
  <si>
    <t xml:space="preserve">Différence de la corde à l'arc 87, p. 44</t>
  </si>
  <si>
    <t xml:space="preserve">ARC OF THE BASE</t>
  </si>
  <si>
    <t xml:space="preserve">Printed 6075.89730 toises, p. 44</t>
  </si>
  <si>
    <t xml:space="preserve">Check vs printed arc (toises)</t>
  </si>
  <si>
    <t xml:space="preserve">Same chain using the Recomputed column where available (toises)</t>
  </si>
  <si>
    <t xml:space="preserve">Difference from Delambre's arc (mm)</t>
  </si>
  <si>
    <t xml:space="preserve">Temperature inputs for step 7 (p. 44)</t>
  </si>
  <si>
    <t xml:space="preserve">Thermometer reading at 13° Réaumur (parts)</t>
  </si>
  <si>
    <t xml:space="preserve">Ice point 383.3 + 13° × (23.16 parts per 10°) = 413.408</t>
  </si>
  <si>
    <t xml:space="preserve">Mean ruler thermometer (parts)</t>
  </si>
  <si>
    <t xml:space="preserve">Delambre rounds 12.758638/3021 = 422.33 to 422.3</t>
  </si>
  <si>
    <t xml:space="preserve">Expansion per part (parts of 1e-5 toise per ruler)</t>
  </si>
  <si>
    <t xml:space="preserve">Alongement de la règle de platine pour une partie du thermomètre</t>
  </si>
  <si>
    <t xml:space="preserve">Number of rulers used in temperature step</t>
  </si>
  <si>
    <t xml:space="preserve">Delambre uses 3038 here vs 3021 placements in step 0; not explained on p. 44</t>
  </si>
  <si>
    <t xml:space="preserve">Unrounded mean (12.758638 / 3021 ×1e5)</t>
  </si>
  <si>
    <t xml:space="preserve">Put =C47 into C44 to undo Delambre's rounding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</si>
</sst>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000000"/>
    <numFmt numFmtId="166" formatCode="#,##0"/>
    <numFmt numFmtId="167" formatCode="0"/>
    <numFmt numFmtId="168" formatCode="0.0000000"/>
    <numFmt numFmtId="169" formatCode="#,##0.0000"/>
    <numFmt numFmtId="170" formatCode="0.00"/>
    <numFmt numFmtId="171" formatCode="0.000"/>
    <numFmt numFmtId="172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9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8EEF3"/>
        <bgColor rgb="FFFFF2CC"/>
      </patternFill>
    </fill>
    <fill>
      <patternFill patternType="solid">
        <fgColor rgb="FFFFF2CC"/>
        <bgColor rgb="FFE8EEF3"/>
      </patternFill>
    </fill>
    <fill>
      <patternFill patternType="solid">
        <fgColor rgb="FF34495E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E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449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4" min="3" style="0" width="17"/>
    <col collapsed="false" customWidth="true" hidden="false" outlineLevel="0" max="5" min="5" style="0" width="19"/>
    <col collapsed="false" customWidth="true" hidden="false" outlineLevel="0" max="6" min="6" style="0" width="16"/>
    <col collapsed="false" customWidth="true" hidden="false" outlineLevel="0" max="7" min="7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5" t="s">
        <v>4</v>
      </c>
      <c r="C5" s="6" t="n">
        <f aca="false">864/443.295936</f>
        <v>1.94903659121296</v>
      </c>
      <c r="D5" s="7" t="s">
        <v>5</v>
      </c>
    </row>
    <row r="6" customFormat="false" ht="15" hidden="false" customHeight="false" outlineLevel="0" collapsed="false">
      <c r="A6" s="5" t="s">
        <v>6</v>
      </c>
      <c r="C6" s="8" t="n">
        <v>3266000</v>
      </c>
      <c r="D6" s="7" t="s">
        <v>7</v>
      </c>
    </row>
    <row r="7" customFormat="false" ht="15" hidden="false" customHeight="false" outlineLevel="0" collapsed="false">
      <c r="A7" s="5" t="s">
        <v>8</v>
      </c>
      <c r="C7" s="9" t="n">
        <v>2</v>
      </c>
      <c r="D7" s="7" t="s">
        <v>9</v>
      </c>
    </row>
    <row r="9" customFormat="false" ht="15" hidden="false" customHeight="false" outlineLevel="0" collapsed="false">
      <c r="A9" s="3" t="s">
        <v>10</v>
      </c>
      <c r="B9" s="4"/>
      <c r="C9" s="4"/>
      <c r="D9" s="4"/>
      <c r="E9" s="4"/>
      <c r="F9" s="4"/>
      <c r="G9" s="4"/>
    </row>
    <row r="10" customFormat="false" ht="15" hidden="false" customHeight="false" outlineLevel="0" collapsed="false">
      <c r="A10" s="10" t="s">
        <v>11</v>
      </c>
      <c r="C10" s="9" t="n">
        <v>3021</v>
      </c>
      <c r="D10" s="7" t="s">
        <v>12</v>
      </c>
    </row>
    <row r="11" customFormat="false" ht="15" hidden="false" customHeight="false" outlineLevel="0" collapsed="false">
      <c r="A11" s="5" t="s">
        <v>13</v>
      </c>
      <c r="C11" s="11" t="n">
        <f aca="false">C10*C7</f>
        <v>6042</v>
      </c>
      <c r="D11" s="7"/>
    </row>
    <row r="12" customFormat="false" ht="15" hidden="false" customHeight="false" outlineLevel="0" collapsed="false">
      <c r="A12" s="5" t="s">
        <v>14</v>
      </c>
      <c r="C12" s="12" t="n">
        <v>34.260683</v>
      </c>
      <c r="D12" s="7" t="s">
        <v>15</v>
      </c>
    </row>
    <row r="13" customFormat="false" ht="15" hidden="false" customHeight="false" outlineLevel="0" collapsed="false">
      <c r="A13" s="5" t="s">
        <v>16</v>
      </c>
      <c r="C13" s="12" t="n">
        <v>0.000578</v>
      </c>
      <c r="D13" s="7" t="s">
        <v>17</v>
      </c>
    </row>
    <row r="14" customFormat="false" ht="15" hidden="false" customHeight="false" outlineLevel="0" collapsed="false">
      <c r="A14" s="5" t="s">
        <v>18</v>
      </c>
      <c r="C14" s="12" t="n">
        <v>-0.32711</v>
      </c>
      <c r="D14" s="7" t="s">
        <v>19</v>
      </c>
    </row>
    <row r="15" customFormat="false" ht="15" hidden="false" customHeight="false" outlineLevel="0" collapsed="false">
      <c r="A15" s="5" t="s">
        <v>20</v>
      </c>
      <c r="C15" s="12" t="n">
        <v>-0.001788</v>
      </c>
      <c r="D15" s="7" t="s">
        <v>21</v>
      </c>
    </row>
    <row r="16" customFormat="false" ht="15" hidden="false" customHeight="false" outlineLevel="0" collapsed="false">
      <c r="A16" s="13" t="s">
        <v>22</v>
      </c>
      <c r="C16" s="14" t="n">
        <f aca="false">SUM(C11:C15)</f>
        <v>6075.932363</v>
      </c>
    </row>
    <row r="17" customFormat="false" ht="15" hidden="false" customHeight="false" outlineLevel="0" collapsed="false">
      <c r="A17" s="13" t="s">
        <v>23</v>
      </c>
      <c r="C17" s="15" t="n">
        <v>6075.9323635</v>
      </c>
    </row>
    <row r="18" customFormat="false" ht="15" hidden="false" customHeight="false" outlineLevel="0" collapsed="false">
      <c r="A18" s="5" t="s">
        <v>24</v>
      </c>
      <c r="C18" s="11" t="n">
        <f aca="false">C16-C17</f>
        <v>-5.00000169267878E-007</v>
      </c>
    </row>
    <row r="20" customFormat="false" ht="15" hidden="false" customHeight="false" outlineLevel="0" collapsed="false">
      <c r="A20" s="3" t="s">
        <v>25</v>
      </c>
      <c r="B20" s="4"/>
      <c r="C20" s="4"/>
      <c r="D20" s="4"/>
      <c r="E20" s="4"/>
      <c r="F20" s="4"/>
      <c r="G20" s="4"/>
    </row>
    <row r="21" customFormat="false" ht="26.85" hidden="false" customHeight="false" outlineLevel="0" collapsed="false">
      <c r="A21" s="16" t="s">
        <v>26</v>
      </c>
      <c r="B21" s="16" t="s">
        <v>27</v>
      </c>
      <c r="C21" s="16" t="s">
        <v>28</v>
      </c>
      <c r="D21" s="16" t="s">
        <v>29</v>
      </c>
      <c r="E21" s="16" t="s">
        <v>30</v>
      </c>
      <c r="F21" s="16" t="s">
        <v>31</v>
      </c>
      <c r="G21" s="16" t="s">
        <v>32</v>
      </c>
    </row>
    <row r="22" customFormat="false" ht="15" hidden="false" customHeight="false" outlineLevel="0" collapsed="false">
      <c r="A22" s="5" t="s">
        <v>33</v>
      </c>
      <c r="B22" s="5" t="s">
        <v>34</v>
      </c>
      <c r="C22" s="11" t="n">
        <f aca="false">C17</f>
        <v>6075.9323635</v>
      </c>
      <c r="E22" s="11" t="n">
        <f aca="false">C22</f>
        <v>6075.9323635</v>
      </c>
      <c r="F22" s="17" t="n">
        <f aca="false">E22*$C$5</f>
        <v>11842.2145021966</v>
      </c>
      <c r="G22" s="5" t="s">
        <v>35</v>
      </c>
    </row>
    <row r="23" customFormat="false" ht="15" hidden="false" customHeight="false" outlineLevel="0" collapsed="false">
      <c r="A23" s="5" t="s">
        <v>36</v>
      </c>
      <c r="B23" s="5" t="s">
        <v>37</v>
      </c>
      <c r="C23" s="12" t="n">
        <v>-0.054928</v>
      </c>
      <c r="E23" s="11" t="n">
        <f aca="false">E22+C23</f>
        <v>6075.8774355</v>
      </c>
      <c r="F23" s="17" t="n">
        <f aca="false">E23*$C$5</f>
        <v>11842.1074455147</v>
      </c>
      <c r="G23" s="5" t="s">
        <v>38</v>
      </c>
    </row>
    <row r="24" customFormat="false" ht="15" hidden="false" customHeight="false" outlineLevel="0" collapsed="false">
      <c r="A24" s="5" t="s">
        <v>39</v>
      </c>
      <c r="B24" s="5" t="s">
        <v>40</v>
      </c>
      <c r="C24" s="12" t="n">
        <v>-0.142371</v>
      </c>
      <c r="D24" s="11" t="n">
        <f aca="false">-0.142369-0.000002</f>
        <v>-0.142371</v>
      </c>
      <c r="E24" s="11" t="n">
        <f aca="false">E23+C24</f>
        <v>6075.7350645</v>
      </c>
      <c r="F24" s="17" t="n">
        <f aca="false">E24*$C$5</f>
        <v>11841.8299592262</v>
      </c>
      <c r="G24" s="5" t="s">
        <v>41</v>
      </c>
    </row>
    <row r="25" customFormat="false" ht="15" hidden="false" customHeight="false" outlineLevel="0" collapsed="false">
      <c r="A25" s="5" t="s">
        <v>42</v>
      </c>
      <c r="B25" s="5" t="s">
        <v>43</v>
      </c>
      <c r="C25" s="12" t="n">
        <v>2.78E-005</v>
      </c>
      <c r="E25" s="11" t="n">
        <f aca="false">E24+C25</f>
        <v>6075.7350923</v>
      </c>
      <c r="F25" s="17" t="n">
        <f aca="false">E25*$C$5</f>
        <v>11841.8300134094</v>
      </c>
      <c r="G25" s="5" t="s">
        <v>44</v>
      </c>
    </row>
    <row r="26" customFormat="false" ht="15" hidden="false" customHeight="false" outlineLevel="0" collapsed="false">
      <c r="A26" s="5" t="s">
        <v>45</v>
      </c>
      <c r="B26" s="5" t="s">
        <v>46</v>
      </c>
      <c r="C26" s="12" t="n">
        <v>-0.0002388</v>
      </c>
      <c r="D26" s="11" t="n">
        <f aca="false">-(3945^3)/(24*$C$6^2)</f>
        <v>-0.000239826638424559</v>
      </c>
      <c r="E26" s="11" t="n">
        <f aca="false">E25+C26</f>
        <v>6075.7348535</v>
      </c>
      <c r="F26" s="17" t="n">
        <f aca="false">E26*$C$5</f>
        <v>11841.8295479794</v>
      </c>
      <c r="G26" s="5" t="s">
        <v>47</v>
      </c>
    </row>
    <row r="27" customFormat="false" ht="15" hidden="false" customHeight="false" outlineLevel="0" collapsed="false">
      <c r="A27" s="5" t="s">
        <v>48</v>
      </c>
      <c r="B27" s="5" t="s">
        <v>49</v>
      </c>
      <c r="C27" s="12" t="n">
        <v>-3.76E-005</v>
      </c>
      <c r="D27" s="11" t="n">
        <f aca="false">-(2131^3)/(24*$C$6^2)</f>
        <v>-3.78013009570732E-005</v>
      </c>
      <c r="E27" s="11" t="n">
        <f aca="false">E26+C27</f>
        <v>6075.7348159</v>
      </c>
      <c r="F27" s="17" t="n">
        <f aca="false">E27*$C$5</f>
        <v>11841.8294746957</v>
      </c>
      <c r="G27" s="5" t="s">
        <v>50</v>
      </c>
    </row>
    <row r="28" customFormat="false" ht="15" hidden="false" customHeight="false" outlineLevel="0" collapsed="false">
      <c r="A28" s="5" t="s">
        <v>51</v>
      </c>
      <c r="B28" s="5" t="s">
        <v>52</v>
      </c>
      <c r="C28" s="12" t="n">
        <v>-0.0110048</v>
      </c>
      <c r="E28" s="11" t="n">
        <f aca="false">E27+C28</f>
        <v>6075.7238111</v>
      </c>
      <c r="F28" s="17" t="n">
        <f aca="false">E28*$C$5</f>
        <v>11841.8080259378</v>
      </c>
      <c r="G28" s="5" t="s">
        <v>53</v>
      </c>
    </row>
    <row r="29" customFormat="false" ht="15" hidden="false" customHeight="false" outlineLevel="0" collapsed="false">
      <c r="A29" s="5" t="s">
        <v>54</v>
      </c>
      <c r="B29" s="13" t="s">
        <v>55</v>
      </c>
      <c r="C29" s="14" t="n">
        <f aca="false">SUM(C23:C28)</f>
        <v>-0.2085524</v>
      </c>
      <c r="E29" s="14" t="n">
        <f aca="false">E28</f>
        <v>6075.7238111</v>
      </c>
      <c r="F29" s="18" t="n">
        <f aca="false">E29*$C$5</f>
        <v>11841.8080259378</v>
      </c>
      <c r="G29" s="5" t="s">
        <v>56</v>
      </c>
    </row>
    <row r="30" customFormat="false" ht="15" hidden="false" customHeight="false" outlineLevel="0" collapsed="false">
      <c r="A30" s="5" t="s">
        <v>57</v>
      </c>
      <c r="B30" s="5" t="s">
        <v>58</v>
      </c>
      <c r="C30" s="12" t="n">
        <v>-0.07735</v>
      </c>
      <c r="D30" s="11" t="n">
        <f aca="false">-E29*41/$C$6</f>
        <v>-0.076272099282027</v>
      </c>
      <c r="E30" s="11" t="n">
        <f aca="false">E29+C30</f>
        <v>6075.6464611</v>
      </c>
      <c r="F30" s="17" t="n">
        <f aca="false">E30*$C$5</f>
        <v>11841.6572679575</v>
      </c>
      <c r="G30" s="5" t="s">
        <v>59</v>
      </c>
    </row>
    <row r="31" customFormat="false" ht="15" hidden="false" customHeight="false" outlineLevel="0" collapsed="false">
      <c r="A31" s="5" t="s">
        <v>60</v>
      </c>
      <c r="B31" s="5" t="s">
        <v>61</v>
      </c>
      <c r="C31" s="12" t="n">
        <v>0.24997</v>
      </c>
      <c r="D31" s="11" t="n">
        <f aca="false">($C$44-$C$43)*$C$45*$C$46*0.00001</f>
        <v>0.24974346852</v>
      </c>
      <c r="E31" s="11" t="n">
        <f aca="false">E30+C31</f>
        <v>6075.8964311</v>
      </c>
      <c r="F31" s="17" t="n">
        <f aca="false">E31*$C$5</f>
        <v>11842.1444686342</v>
      </c>
      <c r="G31" s="5" t="s">
        <v>62</v>
      </c>
    </row>
    <row r="32" customFormat="false" ht="15" hidden="false" customHeight="false" outlineLevel="0" collapsed="false">
      <c r="A32" s="5" t="s">
        <v>54</v>
      </c>
      <c r="B32" s="13" t="s">
        <v>63</v>
      </c>
      <c r="E32" s="14" t="n">
        <f aca="false">E31</f>
        <v>6075.8964311</v>
      </c>
      <c r="F32" s="18" t="n">
        <f aca="false">E32*$C$5</f>
        <v>11842.1444686342</v>
      </c>
      <c r="G32" s="5" t="s">
        <v>64</v>
      </c>
    </row>
    <row r="33" customFormat="false" ht="15" hidden="false" customHeight="false" outlineLevel="0" collapsed="false">
      <c r="A33" s="5" t="s">
        <v>65</v>
      </c>
      <c r="B33" s="5" t="s">
        <v>66</v>
      </c>
      <c r="C33" s="12" t="n">
        <v>0.00087</v>
      </c>
      <c r="D33" s="11" t="n">
        <f aca="false">(E32^3)/(24*$C$6^2)</f>
        <v>0.000876168195572494</v>
      </c>
      <c r="E33" s="11" t="n">
        <f aca="false">E32+C33</f>
        <v>6075.8973011</v>
      </c>
      <c r="F33" s="17" t="n">
        <f aca="false">E33*$C$5</f>
        <v>11842.146164296</v>
      </c>
      <c r="G33" s="5" t="s">
        <v>67</v>
      </c>
    </row>
    <row r="34" customFormat="false" ht="15" hidden="false" customHeight="false" outlineLevel="0" collapsed="false">
      <c r="A34" s="5" t="s">
        <v>54</v>
      </c>
      <c r="B34" s="13" t="s">
        <v>68</v>
      </c>
      <c r="E34" s="19" t="n">
        <f aca="false">E33</f>
        <v>6075.8973011</v>
      </c>
      <c r="F34" s="20" t="n">
        <f aca="false">E34*$C$5</f>
        <v>11842.146164296</v>
      </c>
      <c r="G34" s="5" t="s">
        <v>69</v>
      </c>
    </row>
    <row r="35" customFormat="false" ht="15" hidden="false" customHeight="false" outlineLevel="0" collapsed="false">
      <c r="B35" s="5" t="s">
        <v>70</v>
      </c>
      <c r="C35" s="12" t="n">
        <v>6075.8973</v>
      </c>
      <c r="E35" s="11" t="n">
        <f aca="false">E34-C35</f>
        <v>1.10000109998509E-006</v>
      </c>
    </row>
    <row r="36" customFormat="false" ht="15" hidden="false" customHeight="false" outlineLevel="0" collapsed="false">
      <c r="B36" s="5" t="s">
        <v>71</v>
      </c>
      <c r="E36" s="11" t="n">
        <f aca="false">C22+C23+D24+C25+D26+D27+C28+C30+D31+D33</f>
        <v>6075.89707950878</v>
      </c>
      <c r="F36" s="17" t="n">
        <f aca="false">E36*$C$5</f>
        <v>11842.1457324066</v>
      </c>
    </row>
    <row r="37" customFormat="false" ht="15" hidden="false" customHeight="false" outlineLevel="0" collapsed="false">
      <c r="B37" s="5" t="s">
        <v>72</v>
      </c>
      <c r="E37" s="21" t="n">
        <f aca="false">(E36-E34)*$C$5*1000</f>
        <v>-0.431889403156634</v>
      </c>
    </row>
    <row r="42" customFormat="false" ht="15" hidden="false" customHeight="false" outlineLevel="0" collapsed="false">
      <c r="A42" s="3" t="s">
        <v>73</v>
      </c>
      <c r="B42" s="4"/>
      <c r="C42" s="4"/>
      <c r="D42" s="4"/>
      <c r="E42" s="4"/>
      <c r="F42" s="4"/>
      <c r="G42" s="4"/>
    </row>
    <row r="43" customFormat="false" ht="15" hidden="false" customHeight="false" outlineLevel="0" collapsed="false">
      <c r="A43" s="5" t="s">
        <v>74</v>
      </c>
      <c r="C43" s="22" t="n">
        <f aca="false">383.3+1.3*23.16</f>
        <v>413.408</v>
      </c>
      <c r="D43" s="7" t="s">
        <v>75</v>
      </c>
    </row>
    <row r="44" customFormat="false" ht="15" hidden="false" customHeight="false" outlineLevel="0" collapsed="false">
      <c r="A44" s="5" t="s">
        <v>76</v>
      </c>
      <c r="C44" s="23" t="n">
        <v>422.3</v>
      </c>
      <c r="D44" s="7" t="s">
        <v>77</v>
      </c>
    </row>
    <row r="45" customFormat="false" ht="15" hidden="false" customHeight="false" outlineLevel="0" collapsed="false">
      <c r="A45" s="5" t="s">
        <v>78</v>
      </c>
      <c r="C45" s="24" t="n">
        <v>0.9245</v>
      </c>
      <c r="D45" s="7" t="s">
        <v>79</v>
      </c>
    </row>
    <row r="46" customFormat="false" ht="15" hidden="false" customHeight="false" outlineLevel="0" collapsed="false">
      <c r="A46" s="5" t="s">
        <v>80</v>
      </c>
      <c r="C46" s="25" t="n">
        <v>3038</v>
      </c>
      <c r="D46" s="7" t="s">
        <v>81</v>
      </c>
    </row>
    <row r="47" customFormat="false" ht="15" hidden="false" customHeight="false" outlineLevel="0" collapsed="false">
      <c r="A47" s="5" t="s">
        <v>82</v>
      </c>
      <c r="C47" s="22" t="n">
        <f aca="false">12.758638/3021*100000</f>
        <v>422.33161204899</v>
      </c>
      <c r="D47" s="7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2026-10-22T16:10:40Z</dcterms:created>
  <dc:creator>openpyxl</dc:creator>
  <dc:description/>
  <dc:language>en-US</dc:language>
  <cp:lastModifiedBy/>
  <dcterms:modified xsi:type="dcterms:W3CDTF">2026-10-22T16:10:40Z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