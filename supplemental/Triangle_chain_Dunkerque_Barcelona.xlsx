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urvature from angles" sheetId="2" state="visible" r:id="rId4"/>
    <sheet name="Chain" sheetId="3" state="visible" r:id="rId5"/>
    <sheet name="Source note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Area = ½·b·c·sin A from the chain sides (log sines → arcs in metres, 1 toise = 1.949037 m). Computed values, not formulas.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I187" authorId="0">
      <text>
        <r>
          <rPr>
            <sz val="10"/>
            <rFont val="Arial"/>
            <family val="2"/>
          </rPr>
          <t xml:space="preserve">Printed 9.9385409955 is a misprint; the value Delambre used (9.9385400957) is the one that follows from the angle and from the base in the previous triangle.</t>
        </r>
      </text>
    </comment>
  </commentList>
</comments>
</file>

<file path=xl/sharedStrings.xml><?xml version="1.0" encoding="utf-8"?>
<sst xmlns="http://schemas.openxmlformats.org/spreadsheetml/2006/main" count="1228" uniqueCount="468">
  <si>
    <t xml:space="preserve">Dunkerque–Barcelona chain: base-to-base confirmation</t>
  </si>
  <si>
    <t xml:space="preserve">Source: Delambre, Base du système métrique décimal, Tome II (1807): Tableau complet des triangles pp. 800–839; Calcul des triangles pp. 701–705. Tome I (1806) Tableau des triangles pp. 513–542 for the original angles.</t>
  </si>
  <si>
    <t xml:space="preserve">Constants</t>
  </si>
  <si>
    <t xml:space="preserve">Mean degree used by Delambre (toises)</t>
  </si>
  <si>
    <t xml:space="preserve">“degré moyen de 57020 t”, Tome II p. 706</t>
  </si>
  <si>
    <t xml:space="preserve">Sphere radius R (toises)</t>
  </si>
  <si>
    <t xml:space="preserve">Used to turn log sin (sines in toises) into arcs</t>
  </si>
  <si>
    <t xml:space="preserve">Metres per toise</t>
  </si>
  <si>
    <t xml:space="preserve">Delambre’s logarithm constant 0.28981.99927, Tome II p. 839</t>
  </si>
  <si>
    <t xml:space="preserve">Toise in pouces / lignes</t>
  </si>
  <si>
    <t xml:space="preserve">1 toise = 6 pieds = 72 pouces = 864 lignes</t>
  </si>
  <si>
    <t xml:space="preserve">Melun base (Lieursaint–Melun, triangle 43)</t>
  </si>
  <si>
    <t xml:space="preserve">log sin</t>
  </si>
  <si>
    <t xml:space="preserve">toises</t>
  </si>
  <si>
    <t xml:space="preserve">metres</t>
  </si>
  <si>
    <t xml:space="preserve">Measured (enters the table)</t>
  </si>
  <si>
    <t xml:space="preserve">Delambre fixed his scale constant so these agree (p. 702); the 0.005 mm residue is rounding in the last logarithm digits.</t>
  </si>
  <si>
    <t xml:space="preserve">Carried from Dunkerque through triangles 1–42</t>
  </si>
  <si>
    <t xml:space="preserve">Difference (mm)</t>
  </si>
  <si>
    <t xml:space="preserve">Base length on the measurement pages (arc, p. 44)</t>
  </si>
  <si>
    <t xml:space="preserve">2.8 mm shorter than the value used in the triangles (6075.9001). See the Melun reduction workbook.</t>
  </si>
  <si>
    <t xml:space="preserve">Perpignan base (Vernet–Salces, triangle 104): the confirmation</t>
  </si>
  <si>
    <t xml:space="preserve">Delambre (p. 703)</t>
  </si>
  <si>
    <t xml:space="preserve">Measured</t>
  </si>
  <si>
    <t xml:space="preserve">3.77860.30659</t>
  </si>
  <si>
    <t xml:space="preserve">Carried from Melun — original angles (Tome I)</t>
  </si>
  <si>
    <t xml:space="preserve">3.77859.23288</t>
  </si>
  <si>
    <t xml:space="preserve">Carried from Melun — adjusted angles (Tome II)</t>
  </si>
  <si>
    <t xml:space="preserve">“je me trouvai juste à Perpignan”</t>
  </si>
  <si>
    <t xml:space="preserve">Carried from Melun — Tome II angles, log sines recomputed from the angles</t>
  </si>
  <si>
    <t xml:space="preserve">(not given)</t>
  </si>
  <si>
    <t xml:space="preserve">Confirmation: measured − carried (original angles)</t>
  </si>
  <si>
    <t xml:space="preserve">Delambre: 0.00001.07371 = 0ᵗ14849 = 10 pouces 8.3 lignes</t>
  </si>
  <si>
    <t xml:space="preserve">  in pouces</t>
  </si>
  <si>
    <t xml:space="preserve">  in lignes</t>
  </si>
  <si>
    <t xml:space="preserve">  relative to the length of the base (ppm)</t>
  </si>
  <si>
    <t xml:space="preserve">Agreement of my recomputation with Delambre’s 3.77859.23288 (mm)</t>
  </si>
  <si>
    <t xml:space="preserve">Effect of the adjustment (adjusted − original angles, toises)</t>
  </si>
  <si>
    <t xml:space="preserve">Effect of the angle/log-sine mismatches in triangles 52–54 (toises)</t>
  </si>
  <si>
    <t xml:space="preserve">Delambre’s printed log sines for three near-90° angles do not match the printed angles (Source notes). Recomputing them moves Perpignan by this much.</t>
  </si>
  <si>
    <t xml:space="preserve">Base length on the measurement pages (arc, p. 55)</t>
  </si>
  <si>
    <t xml:space="preserve">The value used for the comparison (6006.2487) is 6.8 mm shorter; Delambre trims 0.003–0.005 t for ruler thickness on p. 55.</t>
  </si>
  <si>
    <t xml:space="preserve">Checks</t>
  </si>
  <si>
    <t xml:space="preserve">Largest |chain − printed| on the main chain (×1e-10, excluding listed source slips)</t>
  </si>
  <si>
    <t xml:space="preserve">  (second half of the chain)</t>
  </si>
  <si>
    <t xml:space="preserve">Largest angle-sum error, all triangles (″)</t>
  </si>
  <si>
    <t xml:space="preserve">Triangle 86 excluded: its printed excesses add to 2.48″ against a total of 3.48″ (Source notes).</t>
  </si>
  <si>
    <t xml:space="preserve">Radius of curvature from the triangles alone (Theorema Egregium)</t>
  </si>
  <si>
    <t xml:space="preserve">Each triangle’s observed angles (Tome I, “angles observés”) add up to 180° + excess, and excess = area / R². Areas come from the measured distances (the chain scaled by the Melun base). No astronomy is used. Only triangles in which all three angles were observed are included.</t>
  </si>
  <si>
    <t xml:space="preserve">Triangle</t>
  </si>
  <si>
    <t xml:space="preserve">Area (km²)</t>
  </si>
  <si>
    <t xml:space="preserve">Observed sum − 180° (″)</t>
  </si>
  <si>
    <t xml:space="preserve">Excess (radians)</t>
  </si>
  <si>
    <t xml:space="preserve">Expected at fitted R (″)</t>
  </si>
  <si>
    <t xml:space="preserve">Residual (″)</t>
  </si>
  <si>
    <t xml:space="preserve">Triangles used</t>
  </si>
  <si>
    <t xml:space="preserve">Curvature K = Σ(A·ε)/Σ(A²)  (1/m²)</t>
  </si>
  <si>
    <t xml:space="preserve">Radius R = 1/√K  (km)</t>
  </si>
  <si>
    <t xml:space="preserve">Scatter of one triangle’s closure (″)</t>
  </si>
  <si>
    <t xml:space="preserve">1-σ range of R, low (km)</t>
  </si>
  <si>
    <t xml:space="preserve">1-σ range of R, high (km)</t>
  </si>
  <si>
    <t xml:space="preserve">Modern mean Earth radius (km)</t>
  </si>
  <si>
    <t xml:space="preserve">Mean observed excess (″)</t>
  </si>
  <si>
    <t xml:space="preserve">Mean excess expected at 6 371 km (″)</t>
  </si>
  <si>
    <t xml:space="preserve">Why it comes out low: the observed excesses average about 0.66″ more than a 6 371 km sphere predicts, a systematic error of roughly 0.2″ per measured angle (lateral refraction, signal phase, centring). Fitting a constant bias per triangle as well gives 0.29″ of bias and R ≈ 5 700 km (1-σ 5 200–6 300 km).</t>
  </si>
  <si>
    <t xml:space="preserve">Chaîne des triangles, Dunkerque → Barcelone (Tableau complet, Tome II pp. 800–839)</t>
  </si>
  <si>
    <t xml:space="preserve">Blue = transcribed from the scan; black = formula. Each side is carried from its base by the sine rule on the sphere (log sin side = log sin base + log sin opposite angle − log sin base angle), exactly as Delambre did. Column S repeats the chain with the original Tome I angles.</t>
  </si>
  <si>
    <t xml:space="preserve">No</t>
  </si>
  <si>
    <t xml:space="preserve">Angle at</t>
  </si>
  <si>
    <t xml:space="preserve">Opposite side</t>
  </si>
  <si>
    <t xml:space="preserve">Deg</t>
  </si>
  <si>
    <t xml:space="preserve">Min</t>
  </si>
  <si>
    <t xml:space="preserve">Sec (Tome II)</t>
  </si>
  <si>
    <t xml:space="preserve">Excess (″)</t>
  </si>
  <si>
    <t xml:space="preserve">log sin angle (printed)</t>
  </si>
  <si>
    <t xml:space="preserve">log sin angle (used)</t>
  </si>
  <si>
    <t xml:space="preserve">log sin angle from angle</t>
  </si>
  <si>
    <t xml:space="preserve">angle−log check (×1e-10)</t>
  </si>
  <si>
    <t xml:space="preserve">Role</t>
  </si>
  <si>
    <t xml:space="preserve">Base taken from triangle</t>
  </si>
  <si>
    <t xml:space="preserve">log sin side (printed)</t>
  </si>
  <si>
    <t xml:space="preserve">log sin side — chain, Tome II</t>
  </si>
  <si>
    <t xml:space="preserve">chain − printed (×1e-10)</t>
  </si>
  <si>
    <t xml:space="preserve">Δ Tome II − Tome I (″)</t>
  </si>
  <si>
    <t xml:space="preserve">log sin angle, Tome I</t>
  </si>
  <si>
    <t xml:space="preserve">log sin side — chain, Tome I</t>
  </si>
  <si>
    <t xml:space="preserve">log sin side — chain, angles recomputed</t>
  </si>
  <si>
    <t xml:space="preserve">Arc (toises), from chain</t>
  </si>
  <si>
    <t xml:space="preserve">Arc (toises), printed</t>
  </si>
  <si>
    <t xml:space="preserve">printed − chain (mm)</t>
  </si>
  <si>
    <t xml:space="preserve">Arc (metres)</t>
  </si>
  <si>
    <t xml:space="preserve">Angle sum − 180° − excess (″)</t>
  </si>
  <si>
    <t xml:space="preserve">Dunkerque</t>
  </si>
  <si>
    <t xml:space="preserve">Watten – Cassel</t>
  </si>
  <si>
    <t xml:space="preserve">seed</t>
  </si>
  <si>
    <t xml:space="preserve">Watten</t>
  </si>
  <si>
    <t xml:space="preserve">Dunkerque – Cassel</t>
  </si>
  <si>
    <t xml:space="preserve">Cassel</t>
  </si>
  <si>
    <t xml:space="preserve">Dunkerque – Watten</t>
  </si>
  <si>
    <t xml:space="preserve">Watten – Gravelines</t>
  </si>
  <si>
    <t xml:space="preserve">computed</t>
  </si>
  <si>
    <t xml:space="preserve">Dunkerque – Gravelines</t>
  </si>
  <si>
    <t xml:space="preserve">Gravelines</t>
  </si>
  <si>
    <t xml:space="preserve">base</t>
  </si>
  <si>
    <t xml:space="preserve">Cassel – Fiefs</t>
  </si>
  <si>
    <t xml:space="preserve">Watten – Fiefs</t>
  </si>
  <si>
    <t xml:space="preserve">Fiefs</t>
  </si>
  <si>
    <t xml:space="preserve">Cassel – Helfaut</t>
  </si>
  <si>
    <t xml:space="preserve">Watten – Helfaut</t>
  </si>
  <si>
    <t xml:space="preserve">Helfaut</t>
  </si>
  <si>
    <t xml:space="preserve">Fiefs – Helfaut</t>
  </si>
  <si>
    <t xml:space="preserve">Fiefs – Mesnil</t>
  </si>
  <si>
    <t xml:space="preserve">Cassel – Mesnil</t>
  </si>
  <si>
    <t xml:space="preserve">Mesnil</t>
  </si>
  <si>
    <t xml:space="preserve">Béthune – Fiefs</t>
  </si>
  <si>
    <t xml:space="preserve">Béthune</t>
  </si>
  <si>
    <t xml:space="preserve">Cassel – Béthune</t>
  </si>
  <si>
    <t xml:space="preserve">Mesnil – Fiefs</t>
  </si>
  <si>
    <t xml:space="preserve">Béthune – Mesnil</t>
  </si>
  <si>
    <t xml:space="preserve">Béthune – Helfaut</t>
  </si>
  <si>
    <t xml:space="preserve">Helfaut – Fiefs</t>
  </si>
  <si>
    <t xml:space="preserve">Helfaut – Béthune</t>
  </si>
  <si>
    <t xml:space="preserve">Mesnil – Sauti</t>
  </si>
  <si>
    <t xml:space="preserve">Fiefs – Sauti</t>
  </si>
  <si>
    <t xml:space="preserve">Sauti</t>
  </si>
  <si>
    <t xml:space="preserve">Sauti – Bonnières</t>
  </si>
  <si>
    <t xml:space="preserve">Fiefs – Bonnières</t>
  </si>
  <si>
    <t xml:space="preserve">Bonnières</t>
  </si>
  <si>
    <t xml:space="preserve">Sauti – Beauquêne</t>
  </si>
  <si>
    <t xml:space="preserve">Bonnières – Beauquêne</t>
  </si>
  <si>
    <t xml:space="preserve">Beauquêne</t>
  </si>
  <si>
    <t xml:space="preserve">Bonnières – Sauti</t>
  </si>
  <si>
    <t xml:space="preserve">Beauquêne – Mailli</t>
  </si>
  <si>
    <t xml:space="preserve">Sauti – Mailli</t>
  </si>
  <si>
    <t xml:space="preserve">Mailli</t>
  </si>
  <si>
    <t xml:space="preserve">Villersbretonneux – Beauquêne</t>
  </si>
  <si>
    <t xml:space="preserve">Villersbretonneux</t>
  </si>
  <si>
    <t xml:space="preserve">Mailli – Beauquêne</t>
  </si>
  <si>
    <t xml:space="preserve">Mailli – Villersbretonneux</t>
  </si>
  <si>
    <t xml:space="preserve">Vignacourt – Beauquêne</t>
  </si>
  <si>
    <t xml:space="preserve">Vignacourt</t>
  </si>
  <si>
    <t xml:space="preserve">Villersbretonneux – Vignacourt</t>
  </si>
  <si>
    <t xml:space="preserve">Vignacourt – Sourdon</t>
  </si>
  <si>
    <t xml:space="preserve">Villersbretonneux – Sourdon</t>
  </si>
  <si>
    <t xml:space="preserve">Sourdon</t>
  </si>
  <si>
    <t xml:space="preserve">Sourdon – Arvillers</t>
  </si>
  <si>
    <t xml:space="preserve">Villersbretonneux – Arvillers</t>
  </si>
  <si>
    <t xml:space="preserve">Arvillers</t>
  </si>
  <si>
    <t xml:space="preserve">Mailli – Bayonvillers</t>
  </si>
  <si>
    <t xml:space="preserve">Beauquêne – Bayonvillers</t>
  </si>
  <si>
    <t xml:space="preserve">Bayonvillers</t>
  </si>
  <si>
    <t xml:space="preserve">Bayonvillers – Villersbretonneux</t>
  </si>
  <si>
    <t xml:space="preserve">Bayonvillers – Arvillers</t>
  </si>
  <si>
    <t xml:space="preserve">Sourdon – Amiens</t>
  </si>
  <si>
    <t xml:space="preserve">Villersbretonneux – Amiens</t>
  </si>
  <si>
    <t xml:space="preserve">Amiens</t>
  </si>
  <si>
    <t xml:space="preserve">Vignacourt – Amiens</t>
  </si>
  <si>
    <t xml:space="preserve">Sourdon – Coivrel</t>
  </si>
  <si>
    <t xml:space="preserve">Arvillers – Coivrel</t>
  </si>
  <si>
    <t xml:space="preserve">Coivrel</t>
  </si>
  <si>
    <t xml:space="preserve">Arvillers – Sourdon</t>
  </si>
  <si>
    <t xml:space="preserve">Coivrel – Noyers</t>
  </si>
  <si>
    <t xml:space="preserve">Sourdon – Noyers</t>
  </si>
  <si>
    <t xml:space="preserve">Noyers</t>
  </si>
  <si>
    <t xml:space="preserve">Noyers – Clermont</t>
  </si>
  <si>
    <t xml:space="preserve">Coivrel – Clermont</t>
  </si>
  <si>
    <t xml:space="preserve">Clermont</t>
  </si>
  <si>
    <t xml:space="preserve">Clermont – Jonquières</t>
  </si>
  <si>
    <t xml:space="preserve">Coivrel – Jonquières</t>
  </si>
  <si>
    <t xml:space="preserve">Jonquières</t>
  </si>
  <si>
    <t xml:space="preserve">Jonquières – Saint-Christophe</t>
  </si>
  <si>
    <t xml:space="preserve">Clermont – Saint-Christophe</t>
  </si>
  <si>
    <t xml:space="preserve">Saint-Christophe</t>
  </si>
  <si>
    <t xml:space="preserve">Coivrel – Saint-Christophe</t>
  </si>
  <si>
    <t xml:space="preserve">Saint-Christophe – Saint-Martin</t>
  </si>
  <si>
    <t xml:space="preserve">Clermont – Saint-Martin</t>
  </si>
  <si>
    <t xml:space="preserve">Saint-Martin</t>
  </si>
  <si>
    <t xml:space="preserve">Saint-Martin – Dammartin</t>
  </si>
  <si>
    <t xml:space="preserve">Saint-Christophe – Dammartin</t>
  </si>
  <si>
    <t xml:space="preserve">Dammartin</t>
  </si>
  <si>
    <t xml:space="preserve">Dammartin – Saint-Martin</t>
  </si>
  <si>
    <t xml:space="preserve">Clermont – Dammartin</t>
  </si>
  <si>
    <t xml:space="preserve">Jonquières – Dammartin</t>
  </si>
  <si>
    <t xml:space="preserve">Jonquières – Saint-Martin</t>
  </si>
  <si>
    <t xml:space="preserve">Dammartin – Panthéon</t>
  </si>
  <si>
    <t xml:space="preserve">Saint-Martin – Panthéon</t>
  </si>
  <si>
    <t xml:space="preserve">Panthéon</t>
  </si>
  <si>
    <t xml:space="preserve">Panthéon – Bellassise</t>
  </si>
  <si>
    <t xml:space="preserve">Dammartin – Bellassise</t>
  </si>
  <si>
    <t xml:space="preserve">Bellassise</t>
  </si>
  <si>
    <t xml:space="preserve">Bellassise – Invalides</t>
  </si>
  <si>
    <t xml:space="preserve">Dammartin – Invalides</t>
  </si>
  <si>
    <t xml:space="preserve">Invalides</t>
  </si>
  <si>
    <t xml:space="preserve">Bellassise – Brie</t>
  </si>
  <si>
    <t xml:space="preserve">Panthéon – Brie</t>
  </si>
  <si>
    <t xml:space="preserve">Brie</t>
  </si>
  <si>
    <t xml:space="preserve">Brie – Montlhéri</t>
  </si>
  <si>
    <t xml:space="preserve">Panthéon – Montlhéri</t>
  </si>
  <si>
    <t xml:space="preserve">Montlhéri</t>
  </si>
  <si>
    <t xml:space="preserve">Montlhéri – Tour de Croy</t>
  </si>
  <si>
    <t xml:space="preserve">Brie – Tour de Croy</t>
  </si>
  <si>
    <t xml:space="preserve">Tour de Croy</t>
  </si>
  <si>
    <t xml:space="preserve">Montlhéri – Malvoisine</t>
  </si>
  <si>
    <t xml:space="preserve">Brie – Malvoisine</t>
  </si>
  <si>
    <t xml:space="preserve">Malvoisine</t>
  </si>
  <si>
    <t xml:space="preserve">Malvoisine – Lieursaint</t>
  </si>
  <si>
    <t xml:space="preserve">Montlhéri – Lieursaint</t>
  </si>
  <si>
    <t xml:space="preserve">Lieursaint</t>
  </si>
  <si>
    <t xml:space="preserve">Lieursaint – Melun</t>
  </si>
  <si>
    <t xml:space="preserve">Malvoisine – Melun</t>
  </si>
  <si>
    <t xml:space="preserve">Melun</t>
  </si>
  <si>
    <t xml:space="preserve">Malvoisine – Torfou</t>
  </si>
  <si>
    <t xml:space="preserve">Montlhéri – Torfou</t>
  </si>
  <si>
    <t xml:space="preserve">Torfou</t>
  </si>
  <si>
    <t xml:space="preserve">Torfou – Bruyères</t>
  </si>
  <si>
    <t xml:space="preserve">Malvoisine – Bruyères</t>
  </si>
  <si>
    <t xml:space="preserve">Bruyères</t>
  </si>
  <si>
    <t xml:space="preserve">Torfou – Saint-Yon</t>
  </si>
  <si>
    <t xml:space="preserve">Montlhéri – Saint-Yon</t>
  </si>
  <si>
    <t xml:space="preserve">Saint-Yon</t>
  </si>
  <si>
    <t xml:space="preserve">Torfou – Forêt</t>
  </si>
  <si>
    <t xml:space="preserve">Malvoisine – Forêt</t>
  </si>
  <si>
    <t xml:space="preserve">Forêt</t>
  </si>
  <si>
    <t xml:space="preserve">Forêt – Chapelle-la-Reine</t>
  </si>
  <si>
    <t xml:space="preserve">Malvoisine – Chapelle-la-Reine</t>
  </si>
  <si>
    <t xml:space="preserve">Chapelle-la-Reine</t>
  </si>
  <si>
    <t xml:space="preserve">Chapelle-la-Reine – Pithiviers</t>
  </si>
  <si>
    <t xml:space="preserve">Forêt – Pithiviers</t>
  </si>
  <si>
    <t xml:space="preserve">Pithiviers</t>
  </si>
  <si>
    <t xml:space="preserve">Pithiviers – Bromeille</t>
  </si>
  <si>
    <t xml:space="preserve">Chapelle-la-Reine – Bromeille</t>
  </si>
  <si>
    <t xml:space="preserve">Bromeille</t>
  </si>
  <si>
    <t xml:space="preserve">Pithiviers – Méréville</t>
  </si>
  <si>
    <t xml:space="preserve">Forêt – Méréville</t>
  </si>
  <si>
    <t xml:space="preserve">Méréville</t>
  </si>
  <si>
    <t xml:space="preserve">Pithiviers – Boiscommun</t>
  </si>
  <si>
    <t xml:space="preserve">Chapelle-la-Reine – Boiscommun</t>
  </si>
  <si>
    <t xml:space="preserve">Boiscommun</t>
  </si>
  <si>
    <t xml:space="preserve">Boiscommun – Châtillon</t>
  </si>
  <si>
    <t xml:space="preserve">Pithiviers – Châtillon</t>
  </si>
  <si>
    <t xml:space="preserve">Châtillon</t>
  </si>
  <si>
    <t xml:space="preserve">Châtillon – Châteauneuf</t>
  </si>
  <si>
    <t xml:space="preserve">Boiscommun – Châteauneuf</t>
  </si>
  <si>
    <t xml:space="preserve">Châteauneuf</t>
  </si>
  <si>
    <t xml:space="preserve">Châteauneuf – Orléans</t>
  </si>
  <si>
    <t xml:space="preserve">Châtillon – Orléans</t>
  </si>
  <si>
    <t xml:space="preserve">Orléans</t>
  </si>
  <si>
    <t xml:space="preserve">Orléans – Vouzon</t>
  </si>
  <si>
    <t xml:space="preserve">Châteauneuf – Vouzon</t>
  </si>
  <si>
    <t xml:space="preserve">Vouzon</t>
  </si>
  <si>
    <t xml:space="preserve">Vouzon – Chaumont</t>
  </si>
  <si>
    <t xml:space="preserve">Orléans – Chaumont</t>
  </si>
  <si>
    <t xml:space="preserve">Chaumont</t>
  </si>
  <si>
    <t xml:space="preserve">Chaumont – Soême</t>
  </si>
  <si>
    <t xml:space="preserve">Vouzon – Soême</t>
  </si>
  <si>
    <t xml:space="preserve">Soême</t>
  </si>
  <si>
    <t xml:space="preserve">Oison – Châteauneuf</t>
  </si>
  <si>
    <t xml:space="preserve">Oison</t>
  </si>
  <si>
    <t xml:space="preserve">Vouzon – Châteauneuf</t>
  </si>
  <si>
    <t xml:space="preserve">Vouzon – Oison</t>
  </si>
  <si>
    <t xml:space="preserve">Oison – Soême</t>
  </si>
  <si>
    <t xml:space="preserve">Soême – Sainte-Montaine</t>
  </si>
  <si>
    <t xml:space="preserve">Vouzon – Sainte-Montaine</t>
  </si>
  <si>
    <t xml:space="preserve">Sainte-Montaine</t>
  </si>
  <si>
    <t xml:space="preserve">Sainte-Montaine – Ennordre</t>
  </si>
  <si>
    <t xml:space="preserve">Soême – Ennordre</t>
  </si>
  <si>
    <t xml:space="preserve">Ennordre</t>
  </si>
  <si>
    <t xml:space="preserve">Vouzon – Ennordre</t>
  </si>
  <si>
    <t xml:space="preserve">Ennordre – Méry</t>
  </si>
  <si>
    <t xml:space="preserve">Soême – Méry</t>
  </si>
  <si>
    <t xml:space="preserve">Méry</t>
  </si>
  <si>
    <t xml:space="preserve">Méry – Morogues</t>
  </si>
  <si>
    <t xml:space="preserve">Ennordre – Morogues</t>
  </si>
  <si>
    <t xml:space="preserve">Morogues</t>
  </si>
  <si>
    <t xml:space="preserve">Morogues – Bourges</t>
  </si>
  <si>
    <t xml:space="preserve">Méry – Bourges</t>
  </si>
  <si>
    <t xml:space="preserve">Bourges</t>
  </si>
  <si>
    <t xml:space="preserve">Bourges – Vasselai</t>
  </si>
  <si>
    <t xml:space="preserve">Morogues – Vasselai</t>
  </si>
  <si>
    <t xml:space="preserve">Vasselai</t>
  </si>
  <si>
    <t xml:space="preserve">Les Ais</t>
  </si>
  <si>
    <t xml:space="preserve">Les Ais – Vasselai</t>
  </si>
  <si>
    <t xml:space="preserve">Les Ais – Bourges</t>
  </si>
  <si>
    <t xml:space="preserve">Bourges – Dun</t>
  </si>
  <si>
    <t xml:space="preserve">Morogues – Dun</t>
  </si>
  <si>
    <t xml:space="preserve">Dun</t>
  </si>
  <si>
    <t xml:space="preserve">Dun – Morlac</t>
  </si>
  <si>
    <t xml:space="preserve">Bourges – Morlac</t>
  </si>
  <si>
    <t xml:space="preserve">Morlac</t>
  </si>
  <si>
    <t xml:space="preserve">Morlac – Belvédère</t>
  </si>
  <si>
    <t xml:space="preserve">Dun – Belvédère</t>
  </si>
  <si>
    <t xml:space="preserve">Belvédère</t>
  </si>
  <si>
    <t xml:space="preserve">Belvédère – Cullan</t>
  </si>
  <si>
    <t xml:space="preserve">Morlac – Cullan</t>
  </si>
  <si>
    <t xml:space="preserve">Cullan</t>
  </si>
  <si>
    <t xml:space="preserve">Cullan – Saint-Saturnin</t>
  </si>
  <si>
    <t xml:space="preserve">Morlac – Saint-Saturnin</t>
  </si>
  <si>
    <t xml:space="preserve">Saint-Saturnin</t>
  </si>
  <si>
    <t xml:space="preserve">Saint-Saturnin – Laage</t>
  </si>
  <si>
    <t xml:space="preserve">Cullan – Laage</t>
  </si>
  <si>
    <t xml:space="preserve">Laage</t>
  </si>
  <si>
    <t xml:space="preserve">Laage – Arpheuille</t>
  </si>
  <si>
    <t xml:space="preserve">Cullan – Arpheuille</t>
  </si>
  <si>
    <t xml:space="preserve">Arpheuille</t>
  </si>
  <si>
    <t xml:space="preserve">Arpheuille – Sermur</t>
  </si>
  <si>
    <t xml:space="preserve">Laage – Sermur</t>
  </si>
  <si>
    <t xml:space="preserve">Sermur</t>
  </si>
  <si>
    <t xml:space="preserve">Sermur – Orgnat</t>
  </si>
  <si>
    <t xml:space="preserve">Laage – Orgnat</t>
  </si>
  <si>
    <t xml:space="preserve">Orgnat</t>
  </si>
  <si>
    <t xml:space="preserve">Orgnat – Evaux</t>
  </si>
  <si>
    <t xml:space="preserve">Laage – Evaux</t>
  </si>
  <si>
    <t xml:space="preserve">Evaux</t>
  </si>
  <si>
    <t xml:space="preserve">Orgnat – Bordes</t>
  </si>
  <si>
    <t xml:space="preserve">Sermur – Bordes</t>
  </si>
  <si>
    <t xml:space="preserve">Bordes</t>
  </si>
  <si>
    <t xml:space="preserve">Bordes – Lafagitière</t>
  </si>
  <si>
    <t xml:space="preserve">Sermur – Lafagitière</t>
  </si>
  <si>
    <t xml:space="preserve">Lafagitière</t>
  </si>
  <si>
    <t xml:space="preserve">Lafagitière – Hermant</t>
  </si>
  <si>
    <t xml:space="preserve">Sermur – Hermant</t>
  </si>
  <si>
    <t xml:space="preserve">Hermant</t>
  </si>
  <si>
    <t xml:space="preserve">Hermant – Bort</t>
  </si>
  <si>
    <t xml:space="preserve">Lafagitière – Bort</t>
  </si>
  <si>
    <t xml:space="preserve">Bort</t>
  </si>
  <si>
    <t xml:space="preserve">Bort – Meimac</t>
  </si>
  <si>
    <t xml:space="preserve">Lafagitière – Meimac</t>
  </si>
  <si>
    <t xml:space="preserve">Meimac</t>
  </si>
  <si>
    <t xml:space="preserve">Meimac – Aubassin</t>
  </si>
  <si>
    <t xml:space="preserve">Bort – Aubassin</t>
  </si>
  <si>
    <t xml:space="preserve">Aubassin</t>
  </si>
  <si>
    <t xml:space="preserve">Aubassin – Violan</t>
  </si>
  <si>
    <t xml:space="preserve">Bort – Violan</t>
  </si>
  <si>
    <t xml:space="preserve">Violan</t>
  </si>
  <si>
    <t xml:space="preserve">Aubassin – Bastide</t>
  </si>
  <si>
    <t xml:space="preserve">Violan – Bastide</t>
  </si>
  <si>
    <t xml:space="preserve">Bastide</t>
  </si>
  <si>
    <t xml:space="preserve">Violan – Aubassin</t>
  </si>
  <si>
    <t xml:space="preserve">Bastide – Montsalvy</t>
  </si>
  <si>
    <t xml:space="preserve">Violan – Montsalvy</t>
  </si>
  <si>
    <t xml:space="preserve">Montsalvy</t>
  </si>
  <si>
    <t xml:space="preserve">Montsalvy – Rieupeiroux</t>
  </si>
  <si>
    <t xml:space="preserve">Bastide – Rieupeiroux</t>
  </si>
  <si>
    <t xml:space="preserve">Rieupeiroux</t>
  </si>
  <si>
    <t xml:space="preserve">Rieupeiroux – Rodez</t>
  </si>
  <si>
    <t xml:space="preserve">Montsalvy – Rodez</t>
  </si>
  <si>
    <t xml:space="preserve">Rodez</t>
  </si>
  <si>
    <t xml:space="preserve">Rodez – Lagaste</t>
  </si>
  <si>
    <t xml:space="preserve">Rieupeiroux – Lagaste</t>
  </si>
  <si>
    <t xml:space="preserve">Lagaste</t>
  </si>
  <si>
    <t xml:space="preserve">Lagaste – Saint-George</t>
  </si>
  <si>
    <t xml:space="preserve">Rieupeiroux – Saint-George</t>
  </si>
  <si>
    <t xml:space="preserve">Saint-George</t>
  </si>
  <si>
    <t xml:space="preserve">Saint-George – Cambatjou</t>
  </si>
  <si>
    <t xml:space="preserve">Lagaste – Cambatjou</t>
  </si>
  <si>
    <t xml:space="preserve">Cambatjou</t>
  </si>
  <si>
    <t xml:space="preserve">Cambatjou – Montredon</t>
  </si>
  <si>
    <t xml:space="preserve">Saint-George – Montredon</t>
  </si>
  <si>
    <t xml:space="preserve">Montredon</t>
  </si>
  <si>
    <t xml:space="preserve">Montredon – Montalet</t>
  </si>
  <si>
    <t xml:space="preserve">Cambatjou – Montalet</t>
  </si>
  <si>
    <t xml:space="preserve">Montalet</t>
  </si>
  <si>
    <t xml:space="preserve">Montalet – Saint-Pons</t>
  </si>
  <si>
    <t xml:space="preserve">Montredon – Saint-Pons</t>
  </si>
  <si>
    <t xml:space="preserve">Saint-Pons</t>
  </si>
  <si>
    <t xml:space="preserve">Saint-Pons – Nore</t>
  </si>
  <si>
    <t xml:space="preserve">Montredon – Nore</t>
  </si>
  <si>
    <t xml:space="preserve">Nore</t>
  </si>
  <si>
    <t xml:space="preserve">Nore – Alaric</t>
  </si>
  <si>
    <t xml:space="preserve">Saint-Pons – Alaric</t>
  </si>
  <si>
    <t xml:space="preserve">Alaric</t>
  </si>
  <si>
    <t xml:space="preserve">Alaric – Carcassonne</t>
  </si>
  <si>
    <t xml:space="preserve">Nore – Carcassonne</t>
  </si>
  <si>
    <t xml:space="preserve">Carcassonne</t>
  </si>
  <si>
    <t xml:space="preserve">Carcassonne – Bugarach</t>
  </si>
  <si>
    <t xml:space="preserve">Alaric – Bugarach</t>
  </si>
  <si>
    <t xml:space="preserve">Bugarach</t>
  </si>
  <si>
    <t xml:space="preserve">Bugarach – Tauch</t>
  </si>
  <si>
    <t xml:space="preserve">Alaric – Tauch</t>
  </si>
  <si>
    <t xml:space="preserve">Tauch</t>
  </si>
  <si>
    <t xml:space="preserve">Tauch – Forceral</t>
  </si>
  <si>
    <t xml:space="preserve">Bugarach – Forceral</t>
  </si>
  <si>
    <t xml:space="preserve">Forceral</t>
  </si>
  <si>
    <t xml:space="preserve">Forceral – Espira</t>
  </si>
  <si>
    <t xml:space="preserve">Tauch – Espira</t>
  </si>
  <si>
    <t xml:space="preserve">Espira</t>
  </si>
  <si>
    <t xml:space="preserve">Espira – Vernet</t>
  </si>
  <si>
    <t xml:space="preserve">Forceral – Vernet</t>
  </si>
  <si>
    <t xml:space="preserve">Vernet</t>
  </si>
  <si>
    <t xml:space="preserve">Vernet – Salces</t>
  </si>
  <si>
    <t xml:space="preserve">Espira – Salces</t>
  </si>
  <si>
    <t xml:space="preserve">Salces</t>
  </si>
  <si>
    <t xml:space="preserve">Forceral – Estella</t>
  </si>
  <si>
    <t xml:space="preserve">Bugarach – Estella</t>
  </si>
  <si>
    <t xml:space="preserve">Estella</t>
  </si>
  <si>
    <t xml:space="preserve">Estella – Camellas</t>
  </si>
  <si>
    <t xml:space="preserve">Forceral – Camellas</t>
  </si>
  <si>
    <t xml:space="preserve">Camellas</t>
  </si>
  <si>
    <t xml:space="preserve">Camellas – N. D. du Mont</t>
  </si>
  <si>
    <t xml:space="preserve">Estella – N. D. du Mont</t>
  </si>
  <si>
    <t xml:space="preserve">N. D. du Mont</t>
  </si>
  <si>
    <t xml:space="preserve">N. D. du Mont – Secalm</t>
  </si>
  <si>
    <t xml:space="preserve">Estella – Secalm</t>
  </si>
  <si>
    <t xml:space="preserve">Secalm</t>
  </si>
  <si>
    <t xml:space="preserve">Secalm – Roca</t>
  </si>
  <si>
    <t xml:space="preserve">N. D. du Mont – Roca</t>
  </si>
  <si>
    <t xml:space="preserve">Roca</t>
  </si>
  <si>
    <t xml:space="preserve">Roca – Matagalls</t>
  </si>
  <si>
    <t xml:space="preserve">Secalm – Matagalls</t>
  </si>
  <si>
    <t xml:space="preserve">Matagalls</t>
  </si>
  <si>
    <t xml:space="preserve">Matagalls – Rodos</t>
  </si>
  <si>
    <t xml:space="preserve">Secalm – Rodos</t>
  </si>
  <si>
    <t xml:space="preserve">Rodos</t>
  </si>
  <si>
    <t xml:space="preserve">Rodos – Matas</t>
  </si>
  <si>
    <t xml:space="preserve">Matagalls – Matas</t>
  </si>
  <si>
    <t xml:space="preserve">Matas</t>
  </si>
  <si>
    <t xml:space="preserve">Matas – Montserrat</t>
  </si>
  <si>
    <t xml:space="preserve">Rodos – Montserrat</t>
  </si>
  <si>
    <t xml:space="preserve">Montserrat</t>
  </si>
  <si>
    <t xml:space="preserve">Montserrat – Valvidrera</t>
  </si>
  <si>
    <t xml:space="preserve">Matas – Valvidrera</t>
  </si>
  <si>
    <t xml:space="preserve">Valvidrera</t>
  </si>
  <si>
    <t xml:space="preserve">Valvidrera – Montjouy</t>
  </si>
  <si>
    <t xml:space="preserve">Matas – Montjouy</t>
  </si>
  <si>
    <t xml:space="preserve">Montjouy</t>
  </si>
  <si>
    <t xml:space="preserve">Station</t>
  </si>
  <si>
    <t xml:space="preserve">Column</t>
  </si>
  <si>
    <t xml:space="preserve">Discrepancy in the printed source</t>
  </si>
  <si>
    <t xml:space="preserve">arc</t>
  </si>
  <si>
    <t xml:space="preserve">Printed 21667.4530; its own log 4.33580.78830 gives 21667.4540 (1 mm slip in source)</t>
  </si>
  <si>
    <t xml:space="preserve">Left log-sine 4.12404.14756 and right log 4.12404.27126 differ by 1.237e-6; arc-sine correction should be 1.201e-6 (≈1 mm inconsistency in source; printed arc follows the right-hand log)</t>
  </si>
  <si>
    <t xml:space="preserve">logsinSide</t>
  </si>
  <si>
    <t xml:space="preserve">Printed 3.96319.10176 is 1.0e-6 too large for the triangle (Montlhéri side and the base from triangle 39 agree); Brie–Tour de Croy is a side branch, not on the main chain</t>
  </si>
  <si>
    <t xml:space="preserve">Printed arc 12374.2130 (log 4.09251.75892) is 5 mm longer than the left-page log-sine 4.09251.63762 implies (12374.2081); chain uses log-sines</t>
  </si>
  <si>
    <t xml:space="preserve">Montlhéri–Torfou printed 6212.1595 (chord 6212.1579), but both its logs (3.79323.29524 / .32141) and its reuse as base of triangle 46 give 6212.0253: misprint of 0.134 toise (26 cm) in the arc and chord columns only</t>
  </si>
  <si>
    <t xml:space="preserve">logsinA</t>
  </si>
  <si>
    <t xml:space="preserve">Printed log-sine 9.95884.42207 corresponds to 114°33′6.0″, printed angle is 114°33′4.0″ (secondary point; log is the one consistent with the chain)</t>
  </si>
  <si>
    <t xml:space="preserve">Printed log-sine 9.99969.66886 corresponds to 92°8′28″ vs printed 92°8′22″ (secondary point, near 90° so effect on sides is 4e-8 in log)</t>
  </si>
  <si>
    <t xml:space="preserve">Printed log-sine 9.99975.66805 corresponds to 91°55′3.92″ vs printed 91°55′6.18″; sides follow the log</t>
  </si>
  <si>
    <t xml:space="preserve">Printed log-sine 9.99794.75018 corresponds to 95°33′57.67″ vs printed 95°33′52.13″ (seconds digit partly illegible, value fixed by the angle sum); sides follow the log</t>
  </si>
  <si>
    <t xml:space="preserve">Printed log-sine 9.99940.30128 corresponds to 93°0′12.62″ vs printed angle 93°0′17.48″; sides follow the log</t>
  </si>
  <si>
    <t xml:space="preserve">Châteauneuf–Orléans printed arc 12053.9075 (right log 4.08112.78539) is 1.7 cm shorter than the left-page log-sine implies (12053.9241); chain (triangle 56) follows the left page</t>
  </si>
  <si>
    <t xml:space="preserve">Printed arc 13880.6212 vs its log 4.14240.88018 = 13880.6180 (3 mm)</t>
  </si>
  <si>
    <t xml:space="preserve">Triangle marked 'inutile' (whole-second plane angles); base Châteauneuf–Vouzon differs from triangle 56 by 7.8e-7 in log</t>
  </si>
  <si>
    <t xml:space="preserve">Triangle marked 'inutile'; printed arc 13792.0542 vs its log 4.13962.74192 = 13792.0054</t>
  </si>
  <si>
    <t xml:space="preserve">Printed 9.93854.09955 is a misprint for 9.93854.00957 (value from the angle; also the only value consistent with the base from triangle 58)</t>
  </si>
  <si>
    <t xml:space="preserve">Printed arc 13468.8773 and chord 13468.8677 vs log 4.12930.59368 = 13468.0877: misprint of 0.79 toise in the arc/chord columns</t>
  </si>
  <si>
    <t xml:space="preserve">Triangle marked 'inutile'; printed log-sine 9.71598.03589 corresponds to 31°19′49.46″ vs printed 31°19′46.0″</t>
  </si>
  <si>
    <t xml:space="preserve">Soême–Méry printed arc 11930.1173 (right log 4.07664.47135) vs left-page log-sine 4.07664.14520 → 11930.0542 (6.3 cm); chain follows the left page</t>
  </si>
  <si>
    <t xml:space="preserve">Méry–Bourges printed arc 12170.6752 (chord 12170.6681) vs its log 4.08531.40716 = 12170.6584 (1.7 cm)</t>
  </si>
  <si>
    <t xml:space="preserve">excess</t>
  </si>
  <si>
    <t xml:space="preserve">Printed excesses 0.99 + 0.55 + 0.94 = 2.48, but the printed total and the angle sum are 3.48 (slip in one excess entry)</t>
  </si>
  <si>
    <t xml:space="preserve">Violan–Montsalvy printed arc 23960.5881 (chord printed '13960.5465') vs its log 4.37948.79799 = 23960.0643: misprint of 0.52 toise (1 m) in the arc/chord columns</t>
  </si>
  <si>
    <t xml:space="preserve">Printed arc 25234.2447 is 2 mm longer than the left-page log-sine implies (25234.2428)</t>
  </si>
  <si>
    <t xml:space="preserve">Printed arc 7046.8060 vs left-page log-sine 7046.8078 (1.8 mm)</t>
  </si>
  <si>
    <t xml:space="preserve">Printed arc 10655.1546 (= its right log) vs left-page log-sine 10655.1273 (2.7 cm)</t>
  </si>
  <si>
    <t xml:space="preserve">Printed arc 20346.5675 is smaller than its own printed chord 20346.9345 (impossible); log 4.30849.96882 gives 20346.9673: arc misprint 0.40 toise</t>
  </si>
  <si>
    <t xml:space="preserve">Printed arc 17765.2057 is smaller than its own printed chord 17765.4847; log 4.24957.75990 gives 17765.5068: arc misprint 0.30 toise</t>
  </si>
  <si>
    <t xml:space="preserve">Printed arc 15576.5567 vs its log 4.19247.15413 = 15576.5596 (6 mm)</t>
  </si>
  <si>
    <t xml:space="preserve">Printed arc 12576.7110 (chord 12576.7032) vs its log 4.09956.66793 = 12576.6994 (2.3 cm)</t>
  </si>
  <si>
    <t xml:space="preserve">Printed arc 12185.0318 vs its log 4.08582.69587 = 12185.0400 (1.6 cm)</t>
  </si>
  <si>
    <t xml:space="preserve">Printed arc 12827.7187 vs its log 4.10814.93271 = 12827.7157 (6 mm)</t>
  </si>
  <si>
    <t xml:space="preserve">Printed arc 20040.7210 (chord 20040.6900) vs its log 4.30191.23412 = 20040.6748 (9 cm)</t>
  </si>
  <si>
    <t xml:space="preserve">Lieursaint–Melun (the Melun base) printed 11832.4063 m; 6075.9001 t × 1.949037 = 11842.152 m. Misprint of 9.7 m in the metres column (the other row converts correctly)</t>
  </si>
  <si>
    <t xml:space="preserve">How the transcription was checked</t>
  </si>
  <si>
    <t xml:space="preserve">Every number was read from the e-rara scan (ETH-Bibliothek Zürich, Rar 10260). Each row was tested against: (1) log sin of the printed angle; (2) the sine rule within the triangle; (3) the base side carried from an earlier triangle; (4) the printed arc against its logarithm; (5) the angle sum against the excess. Values that failed were re-read; the entries above are the ones that still fail and were confirmed as printed.</t>
  </si>
  <si>
    <t xml:space="preserve">The left-page logarithms are authoritative: Delambre states that all calculations were made on the logarithms and that the toise and metre columns are “pour la curiosité du lecteur” (p. 703). Most arc misprints fall in triangles 44–100, the triangles whose angles he adjusted, which suggests the toise columns were not all recomputed afterwards.</t>
  </si>
  <si>
    <t xml:space="preserve">Signal heights and the “distance vraie” column were not transcribed. Triangles 67–68 (Bourges tower ties) are printed without logarithms. The 13 secondary triangles on pp. 840–844 are not included.</t>
  </si>
</sst>
</file>

<file path=xl/styles.xml><?xml version="1.0" encoding="utf-8"?>
<styleSheet xmlns="http://schemas.openxmlformats.org/spreadsheetml/2006/main">
  <numFmts count="14">
    <numFmt numFmtId="164" formatCode="General"/>
    <numFmt numFmtId="165" formatCode="#,##0"/>
    <numFmt numFmtId="166" formatCode="#,##0.000"/>
    <numFmt numFmtId="167" formatCode="0.000000000"/>
    <numFmt numFmtId="168" formatCode="0"/>
    <numFmt numFmtId="169" formatCode="0.0000000000"/>
    <numFmt numFmtId="170" formatCode="#,##0.0000"/>
    <numFmt numFmtId="171" formatCode="0.00"/>
    <numFmt numFmtId="172" formatCode="0.00000"/>
    <numFmt numFmtId="173" formatCode="0.0000"/>
    <numFmt numFmtId="174" formatCode="0.0"/>
    <numFmt numFmtId="175" formatCode="0.000"/>
    <numFmt numFmtId="176" formatCode="#,##0.00000"/>
    <numFmt numFmtId="177" formatCode="0.000E+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name val="Arial"/>
      <family val="0"/>
      <charset val="1"/>
    </font>
    <font>
      <sz val="11"/>
      <name val="Arial"/>
      <family val="0"/>
      <charset val="1"/>
    </font>
    <font>
      <sz val="11"/>
      <color rgb="FF0000FF"/>
      <name val="Arial"/>
      <family val="0"/>
      <charset val="1"/>
    </font>
    <font>
      <sz val="9"/>
      <name val="Arial"/>
      <family val="0"/>
      <charset val="1"/>
    </font>
    <font>
      <b val="true"/>
      <sz val="13"/>
      <name val="Arial"/>
      <family val="0"/>
      <charset val="1"/>
    </font>
    <font>
      <b val="true"/>
      <sz val="11"/>
      <color rgb="FFFFFFFF"/>
      <name val="Arial"/>
      <family val="0"/>
      <charset val="1"/>
    </font>
    <font>
      <sz val="11"/>
      <color rgb="FF000000"/>
      <name val="Arial"/>
      <family val="0"/>
      <charset val="1"/>
    </font>
    <font>
      <b val="true"/>
      <sz val="11"/>
      <color rgb="FF000000"/>
      <name val="Arial"/>
      <family val="0"/>
      <charset val="1"/>
    </font>
    <font>
      <sz val="10"/>
      <name val="Arial"/>
      <family val="2"/>
    </font>
  </fonts>
  <fills count="6">
    <fill>
      <patternFill patternType="none"/>
    </fill>
    <fill>
      <patternFill patternType="gray125"/>
    </fill>
    <fill>
      <patternFill patternType="solid">
        <fgColor rgb="FFE8EEF3"/>
        <bgColor rgb="FFF6F8FA"/>
      </patternFill>
    </fill>
    <fill>
      <patternFill patternType="solid">
        <fgColor rgb="FFFFF2CC"/>
        <bgColor rgb="FFF6F8FA"/>
      </patternFill>
    </fill>
    <fill>
      <patternFill patternType="solid">
        <fgColor rgb="FF34495E"/>
        <bgColor rgb="FF333399"/>
      </patternFill>
    </fill>
    <fill>
      <patternFill patternType="solid">
        <fgColor rgb="FFF6F8FA"/>
        <bgColor rgb="FFFFFFFF"/>
      </patternFill>
    </fill>
  </fills>
  <borders count="2">
    <border diagonalUp="false" diagonalDown="false">
      <left/>
      <right/>
      <top/>
      <bottom/>
      <diagonal/>
    </border>
    <border diagonalUp="false" diagonalDown="false">
      <left/>
      <right/>
      <top/>
      <bottom style="thin">
        <color rgb="FFB0B7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72" fontId="6" fillId="3" borderId="0" xfId="0" applyFont="true" applyBorder="false" applyAlignment="false" applyProtection="false">
      <alignment horizontal="general" vertical="bottom" textRotation="0" wrapText="false" indent="0" shrinkToFit="false"/>
      <protection locked="true" hidden="false"/>
    </xf>
    <xf numFmtId="173" fontId="6" fillId="3"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tru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7" fontId="12" fillId="0" borderId="0" xfId="0" applyFont="true" applyBorder="false" applyAlignment="false" applyProtection="false">
      <alignment horizontal="general" vertical="bottom" textRotation="0" wrapText="false" indent="0" shrinkToFit="false"/>
      <protection locked="true" hidden="false"/>
    </xf>
    <xf numFmtId="165" fontId="13" fillId="3"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71" fontId="8" fillId="5" borderId="0" xfId="0" applyFont="true" applyBorder="false" applyAlignment="false" applyProtection="false">
      <alignment horizontal="general" vertical="bottom" textRotation="0" wrapText="false" indent="0" shrinkToFit="false"/>
      <protection locked="true" hidden="false"/>
    </xf>
    <xf numFmtId="169" fontId="8" fillId="5" borderId="0" xfId="0" applyFont="true" applyBorder="false" applyAlignment="false" applyProtection="false">
      <alignment horizontal="general" vertical="bottom" textRotation="0" wrapText="false" indent="0" shrinkToFit="false"/>
      <protection locked="true" hidden="false"/>
    </xf>
    <xf numFmtId="169" fontId="7" fillId="5" borderId="0" xfId="0" applyFont="true" applyBorder="false" applyAlignment="false" applyProtection="false">
      <alignment horizontal="general" vertical="bottom" textRotation="0" wrapText="false" indent="0" shrinkToFit="false"/>
      <protection locked="true" hidden="false"/>
    </xf>
    <xf numFmtId="168" fontId="7"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0" fontId="8" fillId="5" borderId="0" xfId="0" applyFont="true" applyBorder="false" applyAlignment="false" applyProtection="false">
      <alignment horizontal="general" vertical="bottom" textRotation="0" wrapText="false" indent="0" shrinkToFit="false"/>
      <protection locked="true" hidden="false"/>
    </xf>
    <xf numFmtId="174" fontId="0" fillId="5" borderId="0" xfId="0" applyFont="fals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71" fontId="0" fillId="5" borderId="0" xfId="0" applyFont="fals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71" fontId="8" fillId="5" borderId="1" xfId="0" applyFont="true" applyBorder="true" applyAlignment="false" applyProtection="false">
      <alignment horizontal="general" vertical="bottom" textRotation="0" wrapText="false" indent="0" shrinkToFit="false"/>
      <protection locked="true" hidden="false"/>
    </xf>
    <xf numFmtId="169" fontId="8" fillId="5" borderId="1" xfId="0" applyFont="true" applyBorder="true" applyAlignment="false" applyProtection="false">
      <alignment horizontal="general" vertical="bottom" textRotation="0" wrapText="false" indent="0" shrinkToFit="false"/>
      <protection locked="true" hidden="false"/>
    </xf>
    <xf numFmtId="169" fontId="7" fillId="5" borderId="1" xfId="0" applyFont="true" applyBorder="true" applyAlignment="false" applyProtection="false">
      <alignment horizontal="general" vertical="bottom" textRotation="0" wrapText="false" indent="0" shrinkToFit="false"/>
      <protection locked="true" hidden="false"/>
    </xf>
    <xf numFmtId="168" fontId="7"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9" fontId="0" fillId="5" borderId="1" xfId="0" applyFont="false" applyBorder="true" applyAlignment="false" applyProtection="false">
      <alignment horizontal="general" vertical="bottom" textRotation="0" wrapText="false" indent="0" shrinkToFit="false"/>
      <protection locked="true" hidden="false"/>
    </xf>
    <xf numFmtId="168" fontId="0" fillId="5" borderId="1" xfId="0" applyFont="false" applyBorder="true" applyAlignment="false" applyProtection="false">
      <alignment horizontal="general" vertical="bottom" textRotation="0" wrapText="false" indent="0" shrinkToFit="false"/>
      <protection locked="true" hidden="false"/>
    </xf>
    <xf numFmtId="170" fontId="0" fillId="5" borderId="1" xfId="0" applyFont="false" applyBorder="true" applyAlignment="false" applyProtection="false">
      <alignment horizontal="general" vertical="bottom" textRotation="0" wrapText="false" indent="0" shrinkToFit="false"/>
      <protection locked="true" hidden="false"/>
    </xf>
    <xf numFmtId="17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0" fontId="8" fillId="5" borderId="1"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7BF"/>
      <rgbColor rgb="FF808080"/>
      <rgbColor rgb="FF9999FF"/>
      <rgbColor rgb="FF993366"/>
      <rgbColor rgb="FFFFF2CC"/>
      <rgbColor rgb="FFE8EE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6F8FA"/>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4495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7"/>
    <col collapsed="false" customWidth="true" hidden="false" outlineLevel="0" max="4" min="3" style="0" width="15"/>
    <col collapsed="false" customWidth="true" hidden="false" outlineLevel="0" max="5" min="5"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c r="E4" s="4"/>
    </row>
    <row r="5" customFormat="false" ht="15" hidden="false" customHeight="false" outlineLevel="0" collapsed="false">
      <c r="A5" s="5" t="s">
        <v>3</v>
      </c>
      <c r="C5" s="6" t="n">
        <v>57020</v>
      </c>
      <c r="D5" s="7" t="s">
        <v>4</v>
      </c>
    </row>
    <row r="6" customFormat="false" ht="15" hidden="false" customHeight="false" outlineLevel="0" collapsed="false">
      <c r="A6" s="5" t="s">
        <v>5</v>
      </c>
      <c r="C6" s="8" t="n">
        <f aca="false">C5*180/PI()</f>
        <v>3267005.34783595</v>
      </c>
      <c r="D6" s="7" t="s">
        <v>6</v>
      </c>
    </row>
    <row r="7" customFormat="false" ht="15" hidden="false" customHeight="false" outlineLevel="0" collapsed="false">
      <c r="A7" s="5" t="s">
        <v>7</v>
      </c>
      <c r="C7" s="9" t="n">
        <f aca="false">10^0.2898199927</f>
        <v>1.94903659148779</v>
      </c>
      <c r="D7" s="7" t="s">
        <v>8</v>
      </c>
    </row>
    <row r="8" customFormat="false" ht="15" hidden="false" customHeight="false" outlineLevel="0" collapsed="false">
      <c r="A8" s="5" t="s">
        <v>9</v>
      </c>
      <c r="C8" s="10" t="n">
        <v>72</v>
      </c>
      <c r="D8" s="10" t="n">
        <v>864</v>
      </c>
      <c r="E8" s="7" t="s">
        <v>10</v>
      </c>
    </row>
    <row r="10" customFormat="false" ht="15" hidden="false" customHeight="false" outlineLevel="0" collapsed="false">
      <c r="A10" s="3" t="s">
        <v>11</v>
      </c>
      <c r="B10" s="4"/>
      <c r="C10" s="4"/>
      <c r="D10" s="4"/>
      <c r="E10" s="4"/>
    </row>
    <row r="11" customFormat="false" ht="15" hidden="false" customHeight="false" outlineLevel="0" collapsed="false">
      <c r="B11" s="11" t="s">
        <v>12</v>
      </c>
      <c r="C11" s="11" t="s">
        <v>13</v>
      </c>
      <c r="D11" s="11" t="s">
        <v>14</v>
      </c>
    </row>
    <row r="12" customFormat="false" ht="15" hidden="false" customHeight="false" outlineLevel="0" collapsed="false">
      <c r="A12" s="5" t="s">
        <v>15</v>
      </c>
      <c r="B12" s="12" t="n">
        <f aca="false">Chain!N131</f>
        <v>3.7836103721</v>
      </c>
      <c r="C12" s="13" t="n">
        <f aca="false">$C$6*ASIN(10^B12/$C$6)</f>
        <v>6075.90007031416</v>
      </c>
      <c r="D12" s="13" t="n">
        <f aca="false">C12*$C$7</f>
        <v>11842.1515632655</v>
      </c>
      <c r="E12" s="7" t="s">
        <v>16</v>
      </c>
    </row>
    <row r="13" customFormat="false" ht="15" hidden="false" customHeight="false" outlineLevel="0" collapsed="false">
      <c r="A13" s="5" t="s">
        <v>17</v>
      </c>
      <c r="B13" s="12" t="n">
        <f aca="false">Chain!O131</f>
        <v>3.78361037189999</v>
      </c>
      <c r="C13" s="13" t="n">
        <f aca="false">$C$6*ASIN(10^B13/$C$6)</f>
        <v>6075.90006751602</v>
      </c>
      <c r="D13" s="13" t="n">
        <f aca="false">C13*$C$7</f>
        <v>11842.1515578118</v>
      </c>
    </row>
    <row r="14" customFormat="false" ht="15" hidden="false" customHeight="false" outlineLevel="0" collapsed="false">
      <c r="A14" s="5" t="s">
        <v>18</v>
      </c>
      <c r="D14" s="14" t="n">
        <f aca="false">(D13-D12)*1000</f>
        <v>-0.00545366492588073</v>
      </c>
    </row>
    <row r="15" customFormat="false" ht="15" hidden="false" customHeight="false" outlineLevel="0" collapsed="false">
      <c r="A15" s="5" t="s">
        <v>19</v>
      </c>
      <c r="C15" s="15" t="n">
        <v>6075.8973</v>
      </c>
      <c r="D15" s="13" t="n">
        <f aca="false">C15*$C$7</f>
        <v>11842.1461638219</v>
      </c>
      <c r="E15" s="7" t="s">
        <v>20</v>
      </c>
    </row>
    <row r="17" customFormat="false" ht="15" hidden="false" customHeight="false" outlineLevel="0" collapsed="false">
      <c r="A17" s="3" t="s">
        <v>21</v>
      </c>
      <c r="B17" s="4"/>
      <c r="C17" s="4"/>
      <c r="D17" s="4"/>
      <c r="E17" s="4"/>
    </row>
    <row r="18" customFormat="false" ht="15" hidden="false" customHeight="false" outlineLevel="0" collapsed="false">
      <c r="B18" s="11" t="s">
        <v>12</v>
      </c>
      <c r="C18" s="11" t="s">
        <v>13</v>
      </c>
      <c r="D18" s="11" t="s">
        <v>14</v>
      </c>
      <c r="E18" s="11" t="s">
        <v>22</v>
      </c>
    </row>
    <row r="19" customFormat="false" ht="15" hidden="false" customHeight="false" outlineLevel="0" collapsed="false">
      <c r="A19" s="5" t="s">
        <v>23</v>
      </c>
      <c r="B19" s="16" t="n">
        <v>3.7786030659</v>
      </c>
      <c r="C19" s="13" t="n">
        <f aca="false">$C$6*ASIN(10^B19/$C$6)</f>
        <v>6006.24869355103</v>
      </c>
      <c r="D19" s="13" t="n">
        <f aca="false">C19*$C$7</f>
        <v>11706.3984813067</v>
      </c>
      <c r="E19" s="7" t="s">
        <v>24</v>
      </c>
    </row>
    <row r="20" customFormat="false" ht="15" hidden="false" customHeight="false" outlineLevel="0" collapsed="false">
      <c r="A20" s="5" t="s">
        <v>25</v>
      </c>
      <c r="B20" s="12" t="n">
        <f aca="false">Chain!S314</f>
        <v>3.77859232795687</v>
      </c>
      <c r="C20" s="13" t="n">
        <f aca="false">$C$6*ASIN(10^B20/$C$6)</f>
        <v>6006.10019055373</v>
      </c>
      <c r="D20" s="13" t="n">
        <f aca="false">C20*$C$7</f>
        <v>11706.109043531</v>
      </c>
      <c r="E20" s="7" t="s">
        <v>26</v>
      </c>
    </row>
    <row r="21" customFormat="false" ht="15" hidden="false" customHeight="false" outlineLevel="0" collapsed="false">
      <c r="A21" s="5" t="s">
        <v>27</v>
      </c>
      <c r="B21" s="12" t="n">
        <f aca="false">Chain!O314</f>
        <v>3.77860305469999</v>
      </c>
      <c r="C21" s="13" t="n">
        <f aca="false">$C$6*ASIN(10^B21/$C$6)</f>
        <v>6006.24853865581</v>
      </c>
      <c r="D21" s="13" t="n">
        <f aca="false">C21*$C$7</f>
        <v>11706.3981794102</v>
      </c>
      <c r="E21" s="7" t="s">
        <v>28</v>
      </c>
    </row>
    <row r="22" customFormat="false" ht="15" hidden="false" customHeight="false" outlineLevel="0" collapsed="false">
      <c r="A22" s="5" t="s">
        <v>29</v>
      </c>
      <c r="B22" s="12" t="n">
        <f aca="false">Chain!T314</f>
        <v>3.77860191900199</v>
      </c>
      <c r="C22" s="13" t="n">
        <f aca="false">$C$6*ASIN(10^B22/$C$6)</f>
        <v>6006.23283207086</v>
      </c>
      <c r="D22" s="13" t="n">
        <f aca="false">C22*$C$7</f>
        <v>11706.3675667014</v>
      </c>
      <c r="E22" s="7" t="s">
        <v>30</v>
      </c>
    </row>
    <row r="24" customFormat="false" ht="15" hidden="false" customHeight="false" outlineLevel="0" collapsed="false">
      <c r="A24" s="17" t="s">
        <v>31</v>
      </c>
      <c r="B24" s="18" t="n">
        <f aca="false">B19-B20</f>
        <v>1.07379431351085E-005</v>
      </c>
      <c r="C24" s="19" t="n">
        <f aca="false">C19-C20</f>
        <v>0.148502997302785</v>
      </c>
      <c r="D24" s="20" t="n">
        <f aca="false">D19-D20</f>
        <v>0.289437775689294</v>
      </c>
      <c r="E24" s="7" t="s">
        <v>32</v>
      </c>
    </row>
    <row r="25" customFormat="false" ht="15" hidden="false" customHeight="false" outlineLevel="0" collapsed="false">
      <c r="A25" s="5" t="s">
        <v>33</v>
      </c>
      <c r="C25" s="14" t="n">
        <f aca="false">C24*$C$8</f>
        <v>10.6922158058005</v>
      </c>
    </row>
    <row r="26" customFormat="false" ht="15" hidden="false" customHeight="false" outlineLevel="0" collapsed="false">
      <c r="A26" s="5" t="s">
        <v>34</v>
      </c>
      <c r="C26" s="21" t="n">
        <f aca="false">C24*$D$8</f>
        <v>128.306589669606</v>
      </c>
    </row>
    <row r="27" customFormat="false" ht="15" hidden="false" customHeight="false" outlineLevel="0" collapsed="false">
      <c r="A27" s="5" t="s">
        <v>35</v>
      </c>
      <c r="C27" s="21" t="n">
        <f aca="false">C24/C19*1000000</f>
        <v>24.7247499861659</v>
      </c>
    </row>
    <row r="28" customFormat="false" ht="15" hidden="false" customHeight="false" outlineLevel="0" collapsed="false">
      <c r="A28" s="5" t="s">
        <v>36</v>
      </c>
      <c r="C28" s="22" t="n">
        <f aca="false">(B20-3.7785923288)*LN(10)*C20*$C$7*1000</f>
        <v>-0.022726121176499</v>
      </c>
    </row>
    <row r="30" customFormat="false" ht="15" hidden="false" customHeight="false" outlineLevel="0" collapsed="false">
      <c r="A30" s="5" t="s">
        <v>37</v>
      </c>
      <c r="C30" s="23" t="n">
        <f aca="false">C21-C20</f>
        <v>0.148348102085947</v>
      </c>
    </row>
    <row r="31" customFormat="false" ht="15" hidden="false" customHeight="false" outlineLevel="0" collapsed="false">
      <c r="A31" s="5" t="s">
        <v>38</v>
      </c>
      <c r="C31" s="23" t="n">
        <f aca="false">C22-C21</f>
        <v>-0.0157065849516584</v>
      </c>
      <c r="E31" s="7" t="s">
        <v>39</v>
      </c>
    </row>
    <row r="32" customFormat="false" ht="15" hidden="false" customHeight="false" outlineLevel="0" collapsed="false">
      <c r="A32" s="5" t="s">
        <v>40</v>
      </c>
      <c r="C32" s="24" t="n">
        <v>6006.25545</v>
      </c>
      <c r="D32" s="13" t="n">
        <f aca="false">C32*$C$7</f>
        <v>11706.411649873</v>
      </c>
      <c r="E32" s="7" t="s">
        <v>41</v>
      </c>
    </row>
    <row r="34" customFormat="false" ht="15" hidden="false" customHeight="false" outlineLevel="0" collapsed="false">
      <c r="A34" s="3" t="s">
        <v>42</v>
      </c>
      <c r="B34" s="4"/>
      <c r="C34" s="4"/>
      <c r="D34" s="4"/>
      <c r="E34" s="4"/>
    </row>
    <row r="35" customFormat="false" ht="15" hidden="false" customHeight="false" outlineLevel="0" collapsed="false">
      <c r="A35" s="5" t="s">
        <v>43</v>
      </c>
      <c r="C35" s="25" t="n">
        <f aca="false">MAX(ABS(Chain!P6),ABS(Chain!P7),ABS(Chain!P8),ABS(Chain!P9),ABS(Chain!P11),ABS(Chain!P12),ABS(Chain!P14),ABS(Chain!P15),ABS(Chain!P17),ABS(Chain!P18),ABS(Chain!P20),ABS(Chain!P21),ABS(Chain!P23),ABS(Chain!P25),ABS(Chain!P27),ABS(Chain!P28),ABS(Chain!P29),ABS(Chain!P31),ABS(Chain!P32),ABS(Chain!P33),ABS(Chain!P35),ABS(Chain!P36),ABS(Chain!P38),ABS(Chain!P39),ABS(Chain!P41),ABS(Chain!P42),ABS(Chain!P44),ABS(Chain!P45),ABS(Chain!P47),ABS(Chain!P49),ABS(Chain!P50),ABS(Chain!P52),ABS(Chain!P53),ABS(Chain!P54),ABS(Chain!P56),ABS(Chain!P57),ABS(Chain!P59),ABS(Chain!P60),ABS(Chain!P62),ABS(Chain!P63),ABS(Chain!P65),ABS(Chain!P66),ABS(Chain!P68),ABS(Chain!P69),ABS(Chain!P71),ABS(Chain!P72),ABS(Chain!P74),ABS(Chain!P75),ABS(Chain!P77),ABS(Chain!P78),ABS(Chain!P80),ABS(Chain!P81),ABS(Chain!P83),ABS(Chain!P84),ABS(Chain!P86),ABS(Chain!P87),ABS(Chain!P89),ABS(Chain!P90),ABS(Chain!P92))</f>
        <v>3.0000268935737</v>
      </c>
    </row>
    <row r="36" customFormat="false" ht="15" hidden="false" customHeight="false" outlineLevel="0" collapsed="false">
      <c r="A36" s="5" t="s">
        <v>44</v>
      </c>
      <c r="C36" s="25" t="n">
        <f aca="false">MAX(ABS(Chain!P93),ABS(Chain!P95),ABS(Chain!P96),ABS(Chain!P98),ABS(Chain!P100),ABS(Chain!P101),ABS(Chain!P102),ABS(Chain!P105),ABS(Chain!P106),ABS(Chain!P107),ABS(Chain!P108),ABS(Chain!P110),ABS(Chain!P111),ABS(Chain!P113),ABS(Chain!P114),ABS(Chain!P116),ABS(Chain!P117),ABS(Chain!P119),ABS(Chain!P120),ABS(Chain!P125),ABS(Chain!P126),ABS(Chain!P128),ABS(Chain!P129),ABS(Chain!P131),ABS(Chain!P132),ABS(Chain!P134),ABS(Chain!P135),ABS(Chain!P137),ABS(Chain!P138),ABS(Chain!P140),ABS(Chain!P141),ABS(Chain!P143),ABS(Chain!P144),ABS(Chain!P146),ABS(Chain!P147),ABS(Chain!P149),ABS(Chain!P150),ABS(Chain!P152),ABS(Chain!P153),ABS(Chain!P158),ABS(Chain!P159),ABS(Chain!P161),ABS(Chain!P162),ABS(Chain!P164),ABS(Chain!P165),ABS(Chain!P167),ABS(Chain!P168),ABS(Chain!P170),ABS(Chain!P171),ABS(Chain!P173),ABS(Chain!P174),ABS(Chain!P176),ABS(Chain!P177),ABS(Chain!P185),ABS(Chain!P186),ABS(Chain!P188),ABS(Chain!P189),ABS(Chain!P194),ABS(Chain!P195),ABS(Chain!P197),ABS(Chain!P198),ABS(Chain!P200),ABS(Chain!P201),ABS(Chain!P209),ABS(Chain!P210),ABS(Chain!P212),ABS(Chain!P213),ABS(Chain!P215),ABS(Chain!P216),ABS(Chain!P218),ABS(Chain!P219),ABS(Chain!P221),ABS(Chain!P222),ABS(Chain!P224),ABS(Chain!P225),ABS(Chain!P227),ABS(Chain!P228),ABS(Chain!P230),ABS(Chain!P231),ABS(Chain!P233),ABS(Chain!P234),ABS(Chain!P236),ABS(Chain!P237),ABS(Chain!P239),ABS(Chain!P240),ABS(Chain!P242),ABS(Chain!P243),ABS(Chain!P245),ABS(Chain!P246),ABS(Chain!P248),ABS(Chain!P249),ABS(Chain!P251),ABS(Chain!P252),ABS(Chain!P254),ABS(Chain!P255),ABS(Chain!P257),ABS(Chain!P258),ABS(Chain!P260),ABS(Chain!P261),ABS(Chain!P263),ABS(Chain!P264),ABS(Chain!P266),ABS(Chain!P267),ABS(Chain!P269),ABS(Chain!P270),ABS(Chain!P272),ABS(Chain!P273),ABS(Chain!P275),ABS(Chain!P276),ABS(Chain!P278),ABS(Chain!P279),ABS(Chain!P281),ABS(Chain!P282),ABS(Chain!P284),ABS(Chain!P285),ABS(Chain!P287),ABS(Chain!P288),ABS(Chain!P290),ABS(Chain!P291),ABS(Chain!P293),ABS(Chain!P294),ABS(Chain!P296),ABS(Chain!P297),ABS(Chain!P299),ABS(Chain!P300),ABS(Chain!P302),ABS(Chain!P303),ABS(Chain!P305),ABS(Chain!P306),ABS(Chain!P308),ABS(Chain!P309),ABS(Chain!P311),ABS(Chain!P312),ABS(Chain!P314),ABS(Chain!P315),ABS(Chain!P317),ABS(Chain!P318),ABS(Chain!P320),ABS(Chain!P321),ABS(Chain!P323),ABS(Chain!P324),ABS(Chain!P326),ABS(Chain!P327),ABS(Chain!P329),ABS(Chain!P330),ABS(Chain!P332),ABS(Chain!P333),ABS(Chain!P335),ABS(Chain!P336),ABS(Chain!P338),ABS(Chain!P339),ABS(Chain!P341),ABS(Chain!P342),ABS(Chain!P344),ABS(Chain!P345),ABS(Chain!P347),ABS(Chain!P348))</f>
        <v>15.9999302695724</v>
      </c>
    </row>
    <row r="37" customFormat="false" ht="15" hidden="false" customHeight="false" outlineLevel="0" collapsed="false">
      <c r="A37" s="5" t="s">
        <v>45</v>
      </c>
      <c r="C37" s="26" t="n">
        <f aca="false">MAX(ABS(Chain!Y5),ABS(Chain!Y8),ABS(Chain!Y11),ABS(Chain!Y14),ABS(Chain!Y17),ABS(Chain!Y20),ABS(Chain!Y23),ABS(Chain!Y26),ABS(Chain!Y29),ABS(Chain!Y32),ABS(Chain!Y35),ABS(Chain!Y38),ABS(Chain!Y41),ABS(Chain!Y44),ABS(Chain!Y47),ABS(Chain!Y50),ABS(Chain!Y53),ABS(Chain!Y56),ABS(Chain!Y59),ABS(Chain!Y62),ABS(Chain!Y65),ABS(Chain!Y68),ABS(Chain!Y71),ABS(Chain!Y74),ABS(Chain!Y77),ABS(Chain!Y80),ABS(Chain!Y83),ABS(Chain!Y86),ABS(Chain!Y89),ABS(Chain!Y92),ABS(Chain!Y95),ABS(Chain!Y98),ABS(Chain!Y101),ABS(Chain!Y104),ABS(Chain!Y107),ABS(Chain!Y110),ABS(Chain!Y113),ABS(Chain!Y116),ABS(Chain!Y119),ABS(Chain!Y122),ABS(Chain!Y125),ABS(Chain!Y128),ABS(Chain!Y131),ABS(Chain!Y134),ABS(Chain!Y137),ABS(Chain!Y140),ABS(Chain!Y143),ABS(Chain!Y146),ABS(Chain!Y149),ABS(Chain!Y152),ABS(Chain!Y155),ABS(Chain!Y158),ABS(Chain!Y161),ABS(Chain!Y164),ABS(Chain!Y167),ABS(Chain!Y170),ABS(Chain!Y173),ABS(Chain!Y176),ABS(Chain!Y179),ABS(Chain!Y182),ABS(Chain!Y185),ABS(Chain!Y188),ABS(Chain!Y191),ABS(Chain!Y194),ABS(Chain!Y197),ABS(Chain!Y200),ABS(Chain!Y203),ABS(Chain!Y206),ABS(Chain!Y209),ABS(Chain!Y212),ABS(Chain!Y215),ABS(Chain!Y218),ABS(Chain!Y221),ABS(Chain!Y224),ABS(Chain!Y227),ABS(Chain!Y230),ABS(Chain!Y233),ABS(Chain!Y236),ABS(Chain!Y239),ABS(Chain!Y242),ABS(Chain!Y245),ABS(Chain!Y248),ABS(Chain!Y251),ABS(Chain!Y254),ABS(Chain!Y257),ABS(Chain!Y263),ABS(Chain!Y266),ABS(Chain!Y269),ABS(Chain!Y272),ABS(Chain!Y275),ABS(Chain!Y278),ABS(Chain!Y281),ABS(Chain!Y284),ABS(Chain!Y287),ABS(Chain!Y290),ABS(Chain!Y293),ABS(Chain!Y296),ABS(Chain!Y299),ABS(Chain!Y302),ABS(Chain!Y305),ABS(Chain!Y308),ABS(Chain!Y311),ABS(Chain!Y314),ABS(Chain!Y317),ABS(Chain!Y320),ABS(Chain!Y323),ABS(Chain!Y326),ABS(Chain!Y329),ABS(Chain!Y332),ABS(Chain!Y335),ABS(Chain!Y338),ABS(Chain!Y341),ABS(Chain!Y344),ABS(Chain!Y347))</f>
        <v>1.4210854715202E-014</v>
      </c>
      <c r="E37" s="7"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3"/>
    <col collapsed="false" customWidth="true" hidden="false" outlineLevel="0" max="4" min="4" style="0" width="12"/>
    <col collapsed="false" customWidth="true" hidden="false" outlineLevel="0" max="5" min="5" style="0" width="13"/>
    <col collapsed="false" customWidth="true" hidden="false" outlineLevel="0" max="6" min="6" style="0" width="10"/>
    <col collapsed="false" customWidth="true" hidden="false" outlineLevel="0" max="7" min="7" style="0" width="3"/>
    <col collapsed="false" customWidth="true" hidden="false" outlineLevel="0" max="8" min="8" style="0" width="40"/>
    <col collapsed="false" customWidth="true" hidden="false" outlineLevel="0" max="11" min="9" style="0" width="12"/>
  </cols>
  <sheetData>
    <row r="1" customFormat="false" ht="16.15" hidden="false" customHeight="false" outlineLevel="0" collapsed="false">
      <c r="A1" s="27" t="s">
        <v>47</v>
      </c>
    </row>
    <row r="2" customFormat="false" ht="15" hidden="false" customHeight="false" outlineLevel="0" collapsed="false">
      <c r="A2" s="2" t="s">
        <v>48</v>
      </c>
    </row>
    <row r="4" customFormat="false" ht="39.55" hidden="false" customHeight="false" outlineLevel="0" collapsed="false">
      <c r="A4" s="28" t="s">
        <v>49</v>
      </c>
      <c r="B4" s="28" t="s">
        <v>50</v>
      </c>
      <c r="C4" s="28" t="s">
        <v>51</v>
      </c>
      <c r="D4" s="28" t="s">
        <v>52</v>
      </c>
      <c r="E4" s="28" t="s">
        <v>53</v>
      </c>
      <c r="F4" s="28" t="s">
        <v>54</v>
      </c>
      <c r="H4" s="5" t="s">
        <v>55</v>
      </c>
      <c r="I4" s="29" t="n">
        <f aca="false">COUNT(A5:A95)</f>
        <v>91</v>
      </c>
    </row>
    <row r="5" customFormat="false" ht="15" hidden="false" customHeight="false" outlineLevel="0" collapsed="false">
      <c r="A5" s="5" t="n">
        <v>1</v>
      </c>
      <c r="B5" s="21" t="n">
        <v>234.593</v>
      </c>
      <c r="C5" s="30" t="n">
        <v>0</v>
      </c>
      <c r="D5" s="31" t="n">
        <f aca="false">C5*PI()/180/3600</f>
        <v>0</v>
      </c>
      <c r="E5" s="26" t="n">
        <f aca="false">B5*1000000/($I$6*1000)^2*180/PI()*3600</f>
        <v>1.68270961800763</v>
      </c>
      <c r="F5" s="26" t="n">
        <f aca="false">C5-E5</f>
        <v>-1.68270961800763</v>
      </c>
      <c r="H5" s="5" t="s">
        <v>56</v>
      </c>
      <c r="I5" s="32" t="n">
        <f aca="false">SUMPRODUCT(B5:B95,D5:D95)/1000000/SUMSQ(B5:B95)</f>
        <v>3.47751486252659E-014</v>
      </c>
    </row>
    <row r="6" customFormat="false" ht="15" hidden="false" customHeight="false" outlineLevel="0" collapsed="false">
      <c r="A6" s="5" t="n">
        <v>3</v>
      </c>
      <c r="B6" s="21" t="n">
        <v>330.635</v>
      </c>
      <c r="C6" s="30" t="n">
        <v>0.77</v>
      </c>
      <c r="D6" s="31" t="n">
        <f aca="false">C6*PI()/180/3600</f>
        <v>3.73306534454343E-006</v>
      </c>
      <c r="E6" s="26" t="n">
        <f aca="false">B6*1000000/($I$6*1000)^2*180/PI()*3600</f>
        <v>2.37160825152478</v>
      </c>
      <c r="F6" s="26" t="n">
        <f aca="false">C6-E6</f>
        <v>-1.60160825152478</v>
      </c>
      <c r="H6" s="17" t="s">
        <v>57</v>
      </c>
      <c r="I6" s="33" t="n">
        <f aca="false">1/SQRT(I5)/1000</f>
        <v>5362.47774235229</v>
      </c>
    </row>
    <row r="7" customFormat="false" ht="15" hidden="false" customHeight="false" outlineLevel="0" collapsed="false">
      <c r="A7" s="5" t="n">
        <v>6</v>
      </c>
      <c r="B7" s="21" t="n">
        <v>358.939</v>
      </c>
      <c r="C7" s="30" t="n">
        <v>0.72</v>
      </c>
      <c r="D7" s="31" t="n">
        <f aca="false">C7*PI()/180/3600</f>
        <v>3.49065850398866E-006</v>
      </c>
      <c r="E7" s="26" t="n">
        <f aca="false">B7*1000000/($I$6*1000)^2*180/PI()*3600</f>
        <v>2.5746297100853</v>
      </c>
      <c r="F7" s="26" t="n">
        <f aca="false">C7-E7</f>
        <v>-1.8546297100853</v>
      </c>
      <c r="H7" s="5" t="s">
        <v>58</v>
      </c>
      <c r="I7" s="34" t="n">
        <f aca="false">SQRT(SUMSQ(F5:F95)/(I4-1))</f>
        <v>1.80265664060417</v>
      </c>
    </row>
    <row r="8" customFormat="false" ht="15" hidden="false" customHeight="false" outlineLevel="0" collapsed="false">
      <c r="A8" s="5" t="n">
        <v>11</v>
      </c>
      <c r="B8" s="21" t="n">
        <v>245.759</v>
      </c>
      <c r="C8" s="30" t="n">
        <v>0</v>
      </c>
      <c r="D8" s="31" t="n">
        <f aca="false">C8*PI()/180/3600</f>
        <v>0</v>
      </c>
      <c r="E8" s="26" t="n">
        <f aca="false">B8*1000000/($I$6*1000)^2*180/PI()*3600</f>
        <v>1.76280209985779</v>
      </c>
      <c r="F8" s="26" t="n">
        <f aca="false">C8-E8</f>
        <v>-1.76280209985779</v>
      </c>
      <c r="H8" s="5" t="s">
        <v>59</v>
      </c>
      <c r="I8" s="35" t="n">
        <f aca="false">1/SQRT(I5+I7*PI()/648000/SQRT(SUMSQ(B5:B95))/1000000)/1000</f>
        <v>5156.98062938565</v>
      </c>
    </row>
    <row r="9" customFormat="false" ht="15" hidden="false" customHeight="false" outlineLevel="0" collapsed="false">
      <c r="A9" s="5" t="n">
        <v>12</v>
      </c>
      <c r="B9" s="21" t="n">
        <v>288.517</v>
      </c>
      <c r="C9" s="30" t="n">
        <v>3.62</v>
      </c>
      <c r="D9" s="31" t="n">
        <f aca="false">C9*PI()/180/3600</f>
        <v>1.75502552561652E-005</v>
      </c>
      <c r="E9" s="26" t="n">
        <f aca="false">B9*1000000/($I$6*1000)^2*180/PI()*3600</f>
        <v>2.06950050026517</v>
      </c>
      <c r="F9" s="26" t="n">
        <f aca="false">C9-E9</f>
        <v>1.55049949973483</v>
      </c>
      <c r="H9" s="5" t="s">
        <v>60</v>
      </c>
      <c r="I9" s="35" t="n">
        <f aca="false">1/SQRT(I5-I7*PI()/648000/SQRT(SUMSQ(B5:B95))/1000000)/1000</f>
        <v>5594.6767256185</v>
      </c>
    </row>
    <row r="10" customFormat="false" ht="15" hidden="false" customHeight="false" outlineLevel="0" collapsed="false">
      <c r="A10" s="5" t="n">
        <v>13</v>
      </c>
      <c r="B10" s="21" t="n">
        <v>159.356</v>
      </c>
      <c r="C10" s="30" t="n">
        <v>-1.32</v>
      </c>
      <c r="D10" s="31" t="n">
        <f aca="false">C10*PI()/180/3600</f>
        <v>-6.39954059064588E-006</v>
      </c>
      <c r="E10" s="26" t="n">
        <f aca="false">B10*1000000/($I$6*1000)^2*180/PI()*3600</f>
        <v>1.14304294623976</v>
      </c>
      <c r="F10" s="26" t="n">
        <f aca="false">C10-E10</f>
        <v>-2.46304294623976</v>
      </c>
      <c r="H10" s="5" t="s">
        <v>61</v>
      </c>
      <c r="I10" s="6" t="n">
        <v>6371</v>
      </c>
    </row>
    <row r="11" customFormat="false" ht="15" hidden="false" customHeight="false" outlineLevel="0" collapsed="false">
      <c r="A11" s="5" t="n">
        <v>14</v>
      </c>
      <c r="B11" s="21" t="n">
        <v>114.659</v>
      </c>
      <c r="C11" s="30" t="n">
        <v>2.74</v>
      </c>
      <c r="D11" s="31" t="n">
        <f aca="false">C11*PI()/180/3600</f>
        <v>1.32838948624013E-005</v>
      </c>
      <c r="E11" s="26" t="n">
        <f aca="false">B11*1000000/($I$6*1000)^2*180/PI()*3600</f>
        <v>0.822436313492462</v>
      </c>
      <c r="F11" s="26" t="n">
        <f aca="false">C11-E11</f>
        <v>1.91756368650754</v>
      </c>
      <c r="H11" s="5" t="s">
        <v>62</v>
      </c>
      <c r="I11" s="34" t="n">
        <f aca="false">AVERAGE(C5:C95)</f>
        <v>2.10736263736264</v>
      </c>
    </row>
    <row r="12" customFormat="false" ht="15" hidden="false" customHeight="false" outlineLevel="0" collapsed="false">
      <c r="A12" s="5" t="n">
        <v>17</v>
      </c>
      <c r="B12" s="21" t="n">
        <v>270.131</v>
      </c>
      <c r="C12" s="30" t="n">
        <v>1.34</v>
      </c>
      <c r="D12" s="31" t="n">
        <f aca="false">C12*PI()/180/3600</f>
        <v>6.49650332686778E-006</v>
      </c>
      <c r="E12" s="26" t="n">
        <f aca="false">B12*1000000/($I$6*1000)^2*180/PI()*3600</f>
        <v>1.93761975771664</v>
      </c>
      <c r="F12" s="26" t="n">
        <f aca="false">C12-E12</f>
        <v>-0.597619757716639</v>
      </c>
      <c r="H12" s="5" t="s">
        <v>63</v>
      </c>
      <c r="I12" s="34" t="n">
        <f aca="false">AVERAGE(B5:B95)*1000000/(I10*1000)^2*648000/PI()</f>
        <v>1.44535161377557</v>
      </c>
    </row>
    <row r="13" customFormat="false" ht="15" hidden="false" customHeight="false" outlineLevel="0" collapsed="false">
      <c r="A13" s="5" t="n">
        <v>18</v>
      </c>
      <c r="B13" s="21" t="n">
        <v>141.452</v>
      </c>
      <c r="C13" s="30" t="n">
        <v>0.9</v>
      </c>
      <c r="D13" s="31" t="n">
        <f aca="false">C13*PI()/180/3600</f>
        <v>4.36332312998582E-006</v>
      </c>
      <c r="E13" s="26" t="n">
        <f aca="false">B13*1000000/($I$6*1000)^2*180/PI()*3600</f>
        <v>1.01461953633065</v>
      </c>
      <c r="F13" s="26" t="n">
        <f aca="false">C13-E13</f>
        <v>-0.114619536330647</v>
      </c>
    </row>
    <row r="14" customFormat="false" ht="15" hidden="false" customHeight="true" outlineLevel="0" collapsed="false">
      <c r="A14" s="5" t="n">
        <v>19</v>
      </c>
      <c r="B14" s="21" t="n">
        <v>181.063</v>
      </c>
      <c r="C14" s="30" t="n">
        <v>-1.44</v>
      </c>
      <c r="D14" s="31" t="n">
        <f aca="false">C14*PI()/180/3600</f>
        <v>-6.98131700797732E-006</v>
      </c>
      <c r="E14" s="26" t="n">
        <f aca="false">B14*1000000/($I$6*1000)^2*180/PI()*3600</f>
        <v>1.29874485413169</v>
      </c>
      <c r="F14" s="26" t="n">
        <f aca="false">C14-E14</f>
        <v>-2.73874485413169</v>
      </c>
      <c r="H14" s="36" t="s">
        <v>64</v>
      </c>
      <c r="I14" s="36"/>
      <c r="J14" s="36"/>
      <c r="K14" s="36"/>
    </row>
    <row r="15" customFormat="false" ht="15" hidden="false" customHeight="false" outlineLevel="0" collapsed="false">
      <c r="A15" s="5" t="n">
        <v>20</v>
      </c>
      <c r="B15" s="21" t="n">
        <v>95.607</v>
      </c>
      <c r="C15" s="30" t="n">
        <v>5.18</v>
      </c>
      <c r="D15" s="31" t="n">
        <f aca="false">C15*PI()/180/3600</f>
        <v>2.5113348681474E-005</v>
      </c>
      <c r="E15" s="26" t="n">
        <f aca="false">B15*1000000/($I$6*1000)^2*180/PI()*3600</f>
        <v>0.68577842667452</v>
      </c>
      <c r="F15" s="26" t="n">
        <f aca="false">C15-E15</f>
        <v>4.49422157332548</v>
      </c>
      <c r="H15" s="36"/>
      <c r="I15" s="36"/>
      <c r="J15" s="36"/>
      <c r="K15" s="36"/>
    </row>
    <row r="16" customFormat="false" ht="15" hidden="false" customHeight="false" outlineLevel="0" collapsed="false">
      <c r="A16" s="5" t="n">
        <v>21</v>
      </c>
      <c r="B16" s="21" t="n">
        <v>50.979</v>
      </c>
      <c r="C16" s="30" t="n">
        <v>3.92</v>
      </c>
      <c r="D16" s="31" t="n">
        <f aca="false">C16*PI()/180/3600</f>
        <v>1.90046962994938E-005</v>
      </c>
      <c r="E16" s="26" t="n">
        <f aca="false">B16*1000000/($I$6*1000)^2*180/PI()*3600</f>
        <v>0.365666723288466</v>
      </c>
      <c r="F16" s="26" t="n">
        <f aca="false">C16-E16</f>
        <v>3.55433327671153</v>
      </c>
      <c r="H16" s="36"/>
      <c r="I16" s="36"/>
      <c r="J16" s="36"/>
      <c r="K16" s="36"/>
    </row>
    <row r="17" customFormat="false" ht="15" hidden="false" customHeight="false" outlineLevel="0" collapsed="false">
      <c r="A17" s="5" t="n">
        <v>23</v>
      </c>
      <c r="B17" s="21" t="n">
        <v>89.787</v>
      </c>
      <c r="C17" s="30" t="n">
        <v>-3</v>
      </c>
      <c r="D17" s="31" t="n">
        <f aca="false">C17*PI()/180/3600</f>
        <v>-1.45444104332861E-005</v>
      </c>
      <c r="E17" s="26" t="n">
        <f aca="false">B17*1000000/($I$6*1000)^2*180/PI()*3600</f>
        <v>0.644032210986906</v>
      </c>
      <c r="F17" s="26" t="n">
        <f aca="false">C17-E17</f>
        <v>-3.64403221098691</v>
      </c>
      <c r="H17" s="36"/>
      <c r="I17" s="36"/>
      <c r="J17" s="36"/>
      <c r="K17" s="36"/>
    </row>
    <row r="18" customFormat="false" ht="15" hidden="false" customHeight="false" outlineLevel="0" collapsed="false">
      <c r="A18" s="5" t="n">
        <v>24</v>
      </c>
      <c r="B18" s="21" t="n">
        <v>178.63</v>
      </c>
      <c r="C18" s="30" t="n">
        <v>-0.23</v>
      </c>
      <c r="D18" s="31" t="n">
        <f aca="false">C18*PI()/180/3600</f>
        <v>-1.11507146655193E-006</v>
      </c>
      <c r="E18" s="26" t="n">
        <f aca="false">B18*1000000/($I$6*1000)^2*180/PI()*3600</f>
        <v>1.28129321448084</v>
      </c>
      <c r="F18" s="26" t="n">
        <f aca="false">C18-E18</f>
        <v>-1.51129321448084</v>
      </c>
      <c r="H18" s="36"/>
      <c r="I18" s="36"/>
      <c r="J18" s="36"/>
      <c r="K18" s="36"/>
    </row>
    <row r="19" customFormat="false" ht="15" hidden="false" customHeight="false" outlineLevel="0" collapsed="false">
      <c r="A19" s="5" t="n">
        <v>25</v>
      </c>
      <c r="B19" s="21" t="n">
        <v>185.728</v>
      </c>
      <c r="C19" s="30" t="n">
        <v>-1</v>
      </c>
      <c r="D19" s="31" t="n">
        <f aca="false">C19*PI()/180/3600</f>
        <v>-4.84813681109536E-006</v>
      </c>
      <c r="E19" s="26" t="n">
        <f aca="false">B19*1000000/($I$6*1000)^2*180/PI()*3600</f>
        <v>1.33220638268542</v>
      </c>
      <c r="F19" s="26" t="n">
        <f aca="false">C19-E19</f>
        <v>-2.33220638268542</v>
      </c>
      <c r="H19" s="36"/>
      <c r="I19" s="36"/>
      <c r="J19" s="36"/>
      <c r="K19" s="36"/>
    </row>
    <row r="20" customFormat="false" ht="15" hidden="false" customHeight="false" outlineLevel="0" collapsed="false">
      <c r="A20" s="5" t="n">
        <v>26</v>
      </c>
      <c r="B20" s="21" t="n">
        <v>204.956</v>
      </c>
      <c r="C20" s="30" t="n">
        <v>3.99</v>
      </c>
      <c r="D20" s="31" t="n">
        <f aca="false">C20*PI()/180/3600</f>
        <v>1.93440658762705E-005</v>
      </c>
      <c r="E20" s="26" t="n">
        <f aca="false">B20*1000000/($I$6*1000)^2*180/PI()*3600</f>
        <v>1.470126698019</v>
      </c>
      <c r="F20" s="26" t="n">
        <f aca="false">C20-E20</f>
        <v>2.519873301981</v>
      </c>
      <c r="H20" s="36"/>
      <c r="I20" s="36"/>
      <c r="J20" s="36"/>
      <c r="K20" s="36"/>
    </row>
    <row r="21" customFormat="false" ht="15" hidden="false" customHeight="false" outlineLevel="0" collapsed="false">
      <c r="A21" s="5" t="n">
        <v>27</v>
      </c>
      <c r="B21" s="21" t="n">
        <v>211.267</v>
      </c>
      <c r="C21" s="30" t="n">
        <v>2.16</v>
      </c>
      <c r="D21" s="31" t="n">
        <f aca="false">C21*PI()/180/3600</f>
        <v>1.0471975511966E-005</v>
      </c>
      <c r="E21" s="26" t="n">
        <f aca="false">B21*1000000/($I$6*1000)^2*180/PI()*3600</f>
        <v>1.51539480234968</v>
      </c>
      <c r="F21" s="26" t="n">
        <f aca="false">C21-E21</f>
        <v>0.64460519765032</v>
      </c>
    </row>
    <row r="22" customFormat="false" ht="15" hidden="false" customHeight="false" outlineLevel="0" collapsed="false">
      <c r="A22" s="5" t="n">
        <v>28</v>
      </c>
      <c r="B22" s="21" t="n">
        <v>160.709</v>
      </c>
      <c r="C22" s="30" t="n">
        <v>1.4</v>
      </c>
      <c r="D22" s="31" t="n">
        <f aca="false">C22*PI()/180/3600</f>
        <v>6.7873915355335E-006</v>
      </c>
      <c r="E22" s="26" t="n">
        <f aca="false">B22*1000000/($I$6*1000)^2*180/PI()*3600</f>
        <v>1.15274786545374</v>
      </c>
      <c r="F22" s="26" t="n">
        <f aca="false">C22-E22</f>
        <v>0.247252134546263</v>
      </c>
    </row>
    <row r="23" customFormat="false" ht="15" hidden="false" customHeight="false" outlineLevel="0" collapsed="false">
      <c r="A23" s="5" t="n">
        <v>29</v>
      </c>
      <c r="B23" s="21" t="n">
        <v>192.99</v>
      </c>
      <c r="C23" s="30" t="n">
        <v>2.17</v>
      </c>
      <c r="D23" s="31" t="n">
        <f aca="false">C23*PI()/180/3600</f>
        <v>1.05204568800769E-005</v>
      </c>
      <c r="E23" s="26" t="n">
        <f aca="false">B23*1000000/($I$6*1000)^2*180/PI()*3600</f>
        <v>1.38429590473413</v>
      </c>
      <c r="F23" s="26" t="n">
        <f aca="false">C23-E23</f>
        <v>0.785704095265874</v>
      </c>
    </row>
    <row r="24" customFormat="false" ht="15" hidden="false" customHeight="false" outlineLevel="0" collapsed="false">
      <c r="A24" s="5" t="n">
        <v>30</v>
      </c>
      <c r="B24" s="21" t="n">
        <v>231.753</v>
      </c>
      <c r="C24" s="30" t="n">
        <v>4.88</v>
      </c>
      <c r="D24" s="31" t="n">
        <f aca="false">C24*PI()/180/3600</f>
        <v>2.36589076381454E-005</v>
      </c>
      <c r="E24" s="26" t="n">
        <f aca="false">B24*1000000/($I$6*1000)^2*180/PI()*3600</f>
        <v>1.66233861241436</v>
      </c>
      <c r="F24" s="26" t="n">
        <f aca="false">C24-E24</f>
        <v>3.21766138758564</v>
      </c>
    </row>
    <row r="25" customFormat="false" ht="15" hidden="false" customHeight="false" outlineLevel="0" collapsed="false">
      <c r="A25" s="5" t="n">
        <v>31</v>
      </c>
      <c r="B25" s="21" t="n">
        <v>261.857</v>
      </c>
      <c r="C25" s="30" t="n">
        <v>2.57</v>
      </c>
      <c r="D25" s="31" t="n">
        <f aca="false">C25*PI()/180/3600</f>
        <v>1.24597116045151E-005</v>
      </c>
      <c r="E25" s="26" t="n">
        <f aca="false">B25*1000000/($I$6*1000)^2*180/PI()*3600</f>
        <v>1.87827127170301</v>
      </c>
      <c r="F25" s="26" t="n">
        <f aca="false">C25-E25</f>
        <v>0.691728728296989</v>
      </c>
    </row>
    <row r="26" customFormat="false" ht="15" hidden="false" customHeight="false" outlineLevel="0" collapsed="false">
      <c r="A26" s="5" t="n">
        <v>32</v>
      </c>
      <c r="B26" s="21" t="n">
        <v>384.431</v>
      </c>
      <c r="C26" s="30" t="n">
        <v>3.04</v>
      </c>
      <c r="D26" s="31" t="n">
        <f aca="false">C26*PI()/180/3600</f>
        <v>1.47383359057299E-005</v>
      </c>
      <c r="E26" s="26" t="n">
        <f aca="false">B26*1000000/($I$6*1000)^2*180/PI()*3600</f>
        <v>2.75748100395277</v>
      </c>
      <c r="F26" s="26" t="n">
        <f aca="false">C26-E26</f>
        <v>0.282518996047231</v>
      </c>
    </row>
    <row r="27" customFormat="false" ht="15" hidden="false" customHeight="false" outlineLevel="0" collapsed="false">
      <c r="A27" s="5" t="n">
        <v>33</v>
      </c>
      <c r="B27" s="21" t="n">
        <v>425.202</v>
      </c>
      <c r="C27" s="30" t="n">
        <v>2.42</v>
      </c>
      <c r="D27" s="31" t="n">
        <f aca="false">C27*PI()/180/3600</f>
        <v>1.17324910828508E-005</v>
      </c>
      <c r="E27" s="26" t="n">
        <f aca="false">B27*1000000/($I$6*1000)^2*180/PI()*3600</f>
        <v>3.04992687333416</v>
      </c>
      <c r="F27" s="26" t="n">
        <f aca="false">C27-E27</f>
        <v>-0.629926873334162</v>
      </c>
    </row>
    <row r="28" customFormat="false" ht="15" hidden="false" customHeight="false" outlineLevel="0" collapsed="false">
      <c r="A28" s="5" t="n">
        <v>35</v>
      </c>
      <c r="B28" s="21" t="n">
        <v>358.885</v>
      </c>
      <c r="C28" s="30" t="n">
        <v>0.51</v>
      </c>
      <c r="D28" s="31" t="n">
        <f aca="false">C28*PI()/180/3600</f>
        <v>2.47254977365863E-006</v>
      </c>
      <c r="E28" s="26" t="n">
        <f aca="false">B28*1000000/($I$6*1000)^2*180/PI()*3600</f>
        <v>2.57424237406346</v>
      </c>
      <c r="F28" s="26" t="n">
        <f aca="false">C28-E28</f>
        <v>-2.06424237406346</v>
      </c>
    </row>
    <row r="29" customFormat="false" ht="15" hidden="false" customHeight="false" outlineLevel="0" collapsed="false">
      <c r="A29" s="5" t="n">
        <v>36</v>
      </c>
      <c r="B29" s="21" t="n">
        <v>386.786</v>
      </c>
      <c r="C29" s="30" t="n">
        <v>2.84</v>
      </c>
      <c r="D29" s="31" t="n">
        <f aca="false">C29*PI()/180/3600</f>
        <v>1.37687085435108E-005</v>
      </c>
      <c r="E29" s="26" t="n">
        <f aca="false">B29*1000000/($I$6*1000)^2*180/PI()*3600</f>
        <v>2.77437315823874</v>
      </c>
      <c r="F29" s="26" t="n">
        <f aca="false">C29-E29</f>
        <v>0.0656268417612629</v>
      </c>
    </row>
    <row r="30" customFormat="false" ht="15" hidden="false" customHeight="false" outlineLevel="0" collapsed="false">
      <c r="A30" s="5" t="n">
        <v>38</v>
      </c>
      <c r="B30" s="21" t="n">
        <v>239.809</v>
      </c>
      <c r="C30" s="30" t="n">
        <v>1.36</v>
      </c>
      <c r="D30" s="31" t="n">
        <f aca="false">C30*PI()/180/3600</f>
        <v>6.59346606308969E-006</v>
      </c>
      <c r="E30" s="26" t="n">
        <f aca="false">B30*1000000/($I$6*1000)^2*180/PI()*3600</f>
        <v>1.72012340856203</v>
      </c>
      <c r="F30" s="26" t="n">
        <f aca="false">C30-E30</f>
        <v>-0.36012340856203</v>
      </c>
    </row>
    <row r="31" customFormat="false" ht="15" hidden="false" customHeight="false" outlineLevel="0" collapsed="false">
      <c r="A31" s="5" t="n">
        <v>39</v>
      </c>
      <c r="B31" s="21" t="n">
        <v>274.052</v>
      </c>
      <c r="C31" s="30" t="n">
        <v>1.97</v>
      </c>
      <c r="D31" s="31" t="n">
        <f aca="false">C31*PI()/180/3600</f>
        <v>9.55082951785786E-006</v>
      </c>
      <c r="E31" s="26" t="n">
        <f aca="false">B31*1000000/($I$6*1000)^2*180/PI()*3600</f>
        <v>1.96574465663608</v>
      </c>
      <c r="F31" s="26" t="n">
        <f aca="false">C31-E31</f>
        <v>0.00425534336392164</v>
      </c>
    </row>
    <row r="32" customFormat="false" ht="15" hidden="false" customHeight="false" outlineLevel="0" collapsed="false">
      <c r="A32" s="5" t="n">
        <v>41</v>
      </c>
      <c r="B32" s="21" t="n">
        <v>200.155</v>
      </c>
      <c r="C32" s="30" t="n">
        <v>1.08</v>
      </c>
      <c r="D32" s="31" t="n">
        <f aca="false">C32*PI()/180/3600</f>
        <v>5.23598775598299E-006</v>
      </c>
      <c r="E32" s="26" t="n">
        <f aca="false">B32*1000000/($I$6*1000)^2*180/PI()*3600</f>
        <v>1.43568965652137</v>
      </c>
      <c r="F32" s="26" t="n">
        <f aca="false">C32-E32</f>
        <v>-0.355689656521369</v>
      </c>
    </row>
    <row r="33" customFormat="false" ht="15" hidden="false" customHeight="false" outlineLevel="0" collapsed="false">
      <c r="A33" s="5" t="n">
        <v>42</v>
      </c>
      <c r="B33" s="21" t="n">
        <v>137.005</v>
      </c>
      <c r="C33" s="30" t="n">
        <v>0.9</v>
      </c>
      <c r="D33" s="31" t="n">
        <f aca="false">C33*PI()/180/3600</f>
        <v>4.36332312998582E-006</v>
      </c>
      <c r="E33" s="26" t="n">
        <f aca="false">B33*1000000/($I$6*1000)^2*180/PI()*3600</f>
        <v>0.982721697642878</v>
      </c>
      <c r="F33" s="26" t="n">
        <f aca="false">C33-E33</f>
        <v>-0.0827216976428777</v>
      </c>
    </row>
    <row r="34" customFormat="false" ht="15" hidden="false" customHeight="false" outlineLevel="0" collapsed="false">
      <c r="A34" s="5" t="n">
        <v>43</v>
      </c>
      <c r="B34" s="21" t="n">
        <v>93.574</v>
      </c>
      <c r="C34" s="30" t="n">
        <v>0.41</v>
      </c>
      <c r="D34" s="31" t="n">
        <f aca="false">C34*PI()/180/3600</f>
        <v>1.9877360925491E-006</v>
      </c>
      <c r="E34" s="26" t="n">
        <f aca="false">B34*1000000/($I$6*1000)^2*180/PI()*3600</f>
        <v>0.671195942741029</v>
      </c>
      <c r="F34" s="26" t="n">
        <f aca="false">C34-E34</f>
        <v>-0.261195942741029</v>
      </c>
    </row>
    <row r="35" customFormat="false" ht="15" hidden="false" customHeight="false" outlineLevel="0" collapsed="false">
      <c r="A35" s="5" t="n">
        <v>44</v>
      </c>
      <c r="B35" s="21" t="n">
        <v>85.738</v>
      </c>
      <c r="C35" s="30" t="n">
        <v>-2.8</v>
      </c>
      <c r="D35" s="31" t="n">
        <f aca="false">C35*PI()/180/3600</f>
        <v>-1.3574783071067E-005</v>
      </c>
      <c r="E35" s="26" t="n">
        <f aca="false">B35*1000000/($I$6*1000)^2*180/PI()*3600</f>
        <v>0.614989182237911</v>
      </c>
      <c r="F35" s="26" t="n">
        <f aca="false">C35-E35</f>
        <v>-3.41498918223791</v>
      </c>
    </row>
    <row r="36" customFormat="false" ht="15" hidden="false" customHeight="false" outlineLevel="0" collapsed="false">
      <c r="A36" s="5" t="n">
        <v>47</v>
      </c>
      <c r="B36" s="21" t="n">
        <v>115.434</v>
      </c>
      <c r="C36" s="30" t="n">
        <v>-2.03</v>
      </c>
      <c r="D36" s="31" t="n">
        <f aca="false">C36*PI()/180/3600</f>
        <v>-9.84171772652358E-006</v>
      </c>
      <c r="E36" s="26" t="n">
        <f aca="false">B36*1000000/($I$6*1000)^2*180/PI()*3600</f>
        <v>0.82799530269485</v>
      </c>
      <c r="F36" s="26" t="n">
        <f aca="false">C36-E36</f>
        <v>-2.85799530269485</v>
      </c>
    </row>
    <row r="37" customFormat="false" ht="15" hidden="false" customHeight="false" outlineLevel="0" collapsed="false">
      <c r="A37" s="5" t="n">
        <v>48</v>
      </c>
      <c r="B37" s="21" t="n">
        <v>233.63</v>
      </c>
      <c r="C37" s="30" t="n">
        <v>1.89</v>
      </c>
      <c r="D37" s="31" t="n">
        <f aca="false">C37*PI()/180/3600</f>
        <v>9.16297857297023E-006</v>
      </c>
      <c r="E37" s="26" t="n">
        <f aca="false">B37*1000000/($I$6*1000)^2*180/PI()*3600</f>
        <v>1.67580212561808</v>
      </c>
      <c r="F37" s="26" t="n">
        <f aca="false">C37-E37</f>
        <v>0.214197874381916</v>
      </c>
    </row>
    <row r="38" customFormat="false" ht="15" hidden="false" customHeight="false" outlineLevel="0" collapsed="false">
      <c r="A38" s="5" t="n">
        <v>49</v>
      </c>
      <c r="B38" s="21" t="n">
        <v>286.031</v>
      </c>
      <c r="C38" s="30" t="n">
        <v>3.03</v>
      </c>
      <c r="D38" s="31" t="n">
        <f aca="false">C38*PI()/180/3600</f>
        <v>1.46898545376189E-005</v>
      </c>
      <c r="E38" s="26" t="n">
        <f aca="false">B38*1000000/($I$6*1000)^2*180/PI()*3600</f>
        <v>2.05166869748177</v>
      </c>
      <c r="F38" s="26" t="n">
        <f aca="false">C38-E38</f>
        <v>0.978331302518229</v>
      </c>
    </row>
    <row r="39" customFormat="false" ht="15" hidden="false" customHeight="false" outlineLevel="0" collapsed="false">
      <c r="A39" s="5" t="n">
        <v>52</v>
      </c>
      <c r="B39" s="21" t="n">
        <v>251.255</v>
      </c>
      <c r="C39" s="30" t="n">
        <v>3.15</v>
      </c>
      <c r="D39" s="31" t="n">
        <f aca="false">C39*PI()/180/3600</f>
        <v>1.52716309549504E-005</v>
      </c>
      <c r="E39" s="26" t="n">
        <f aca="false">B39*1000000/($I$6*1000)^2*180/PI()*3600</f>
        <v>1.80222429941434</v>
      </c>
      <c r="F39" s="26" t="n">
        <f aca="false">C39-E39</f>
        <v>1.34777570058566</v>
      </c>
    </row>
    <row r="40" customFormat="false" ht="15" hidden="false" customHeight="false" outlineLevel="0" collapsed="false">
      <c r="A40" s="5" t="n">
        <v>53</v>
      </c>
      <c r="B40" s="21" t="n">
        <v>67.588</v>
      </c>
      <c r="C40" s="30" t="n">
        <v>-2.25</v>
      </c>
      <c r="D40" s="31" t="n">
        <f aca="false">C40*PI()/180/3600</f>
        <v>-1.09083078249646E-005</v>
      </c>
      <c r="E40" s="26" t="n">
        <f aca="false">B40*1000000/($I$6*1000)^2*180/PI()*3600</f>
        <v>0.484801241562621</v>
      </c>
      <c r="F40" s="26" t="n">
        <f aca="false">C40-E40</f>
        <v>-2.73480124156262</v>
      </c>
    </row>
    <row r="41" customFormat="false" ht="15" hidden="false" customHeight="false" outlineLevel="0" collapsed="false">
      <c r="A41" s="5" t="n">
        <v>54</v>
      </c>
      <c r="B41" s="21" t="n">
        <v>96.641</v>
      </c>
      <c r="C41" s="30" t="n">
        <v>-2.14</v>
      </c>
      <c r="D41" s="31" t="n">
        <f aca="false">C41*PI()/180/3600</f>
        <v>-1.03750127757441E-005</v>
      </c>
      <c r="E41" s="26" t="n">
        <f aca="false">B41*1000000/($I$6*1000)^2*180/PI()*3600</f>
        <v>0.6931951942039</v>
      </c>
      <c r="F41" s="26" t="n">
        <f aca="false">C41-E41</f>
        <v>-2.8331951942039</v>
      </c>
    </row>
    <row r="42" customFormat="false" ht="15" hidden="false" customHeight="false" outlineLevel="0" collapsed="false">
      <c r="A42" s="5" t="n">
        <v>55</v>
      </c>
      <c r="B42" s="21" t="n">
        <v>238.961</v>
      </c>
      <c r="C42" s="30" t="n">
        <v>0.88</v>
      </c>
      <c r="D42" s="31" t="n">
        <f aca="false">C42*PI()/180/3600</f>
        <v>4.26636039376392E-006</v>
      </c>
      <c r="E42" s="26" t="n">
        <f aca="false">B42*1000000/($I$6*1000)^2*180/PI()*3600</f>
        <v>1.71404079844122</v>
      </c>
      <c r="F42" s="26" t="n">
        <f aca="false">C42-E42</f>
        <v>-0.834040798441223</v>
      </c>
    </row>
    <row r="43" customFormat="false" ht="15" hidden="false" customHeight="false" outlineLevel="0" collapsed="false">
      <c r="A43" s="5" t="n">
        <v>56</v>
      </c>
      <c r="B43" s="21" t="n">
        <v>305.183</v>
      </c>
      <c r="C43" s="30" t="n">
        <v>1.97</v>
      </c>
      <c r="D43" s="31" t="n">
        <f aca="false">C43*PI()/180/3600</f>
        <v>9.55082951785786E-006</v>
      </c>
      <c r="E43" s="26" t="n">
        <f aca="false">B43*1000000/($I$6*1000)^2*180/PI()*3600</f>
        <v>2.18904387322905</v>
      </c>
      <c r="F43" s="26" t="n">
        <f aca="false">C43-E43</f>
        <v>-0.219043873229053</v>
      </c>
    </row>
    <row r="44" customFormat="false" ht="15" hidden="false" customHeight="false" outlineLevel="0" collapsed="false">
      <c r="A44" s="5" t="n">
        <v>58</v>
      </c>
      <c r="B44" s="21" t="n">
        <v>139.013</v>
      </c>
      <c r="C44" s="30" t="n">
        <v>4.91</v>
      </c>
      <c r="D44" s="31" t="n">
        <f aca="false">C44*PI()/180/3600</f>
        <v>2.38043517424782E-005</v>
      </c>
      <c r="E44" s="26" t="n">
        <f aca="false">B44*1000000/($I$6*1000)^2*180/PI()*3600</f>
        <v>0.997124859344034</v>
      </c>
      <c r="F44" s="26" t="n">
        <f aca="false">C44-E44</f>
        <v>3.91287514065597</v>
      </c>
    </row>
    <row r="45" customFormat="false" ht="15" hidden="false" customHeight="false" outlineLevel="0" collapsed="false">
      <c r="A45" s="5" t="n">
        <v>63</v>
      </c>
      <c r="B45" s="21" t="n">
        <v>129.13</v>
      </c>
      <c r="C45" s="30" t="n">
        <v>1.72</v>
      </c>
      <c r="D45" s="31" t="n">
        <f aca="false">C45*PI()/180/3600</f>
        <v>8.33879531508402E-006</v>
      </c>
      <c r="E45" s="26" t="n">
        <f aca="false">B45*1000000/($I$6*1000)^2*180/PI()*3600</f>
        <v>0.926235194457318</v>
      </c>
      <c r="F45" s="26" t="n">
        <f aca="false">C45-E45</f>
        <v>0.793764805542682</v>
      </c>
    </row>
    <row r="46" customFormat="false" ht="15" hidden="false" customHeight="false" outlineLevel="0" collapsed="false">
      <c r="A46" s="5" t="n">
        <v>64</v>
      </c>
      <c r="B46" s="21" t="n">
        <v>97.622</v>
      </c>
      <c r="C46" s="30" t="n">
        <v>-1.12</v>
      </c>
      <c r="D46" s="31" t="n">
        <f aca="false">C46*PI()/180/3600</f>
        <v>-5.4299132284268E-006</v>
      </c>
      <c r="E46" s="26" t="n">
        <f aca="false">B46*1000000/($I$6*1000)^2*180/PI()*3600</f>
        <v>0.70023179860073</v>
      </c>
      <c r="F46" s="26" t="n">
        <f aca="false">C46-E46</f>
        <v>-1.82023179860073</v>
      </c>
    </row>
    <row r="47" customFormat="false" ht="15" hidden="false" customHeight="false" outlineLevel="0" collapsed="false">
      <c r="A47" s="5" t="n">
        <v>65</v>
      </c>
      <c r="B47" s="21" t="n">
        <v>132.578</v>
      </c>
      <c r="C47" s="30" t="n">
        <v>0.87</v>
      </c>
      <c r="D47" s="31" t="n">
        <f aca="false">C47*PI()/180/3600</f>
        <v>4.21787902565296E-006</v>
      </c>
      <c r="E47" s="26" t="n">
        <f aca="false">B47*1000000/($I$6*1000)^2*180/PI()*3600</f>
        <v>0.950967316740976</v>
      </c>
      <c r="F47" s="26" t="n">
        <f aca="false">C47-E47</f>
        <v>-0.0809673167409762</v>
      </c>
    </row>
    <row r="48" customFormat="false" ht="15" hidden="false" customHeight="false" outlineLevel="0" collapsed="false">
      <c r="A48" s="5" t="n">
        <v>66</v>
      </c>
      <c r="B48" s="21" t="n">
        <v>221.418</v>
      </c>
      <c r="C48" s="30" t="n">
        <v>2.62</v>
      </c>
      <c r="D48" s="31" t="n">
        <f aca="false">C48*PI()/180/3600</f>
        <v>1.27021184450698E-005</v>
      </c>
      <c r="E48" s="26" t="n">
        <f aca="false">B48*1000000/($I$6*1000)^2*180/PI()*3600</f>
        <v>1.58820680156703</v>
      </c>
      <c r="F48" s="26" t="n">
        <f aca="false">C48-E48</f>
        <v>1.03179319843297</v>
      </c>
    </row>
    <row r="49" customFormat="false" ht="15" hidden="false" customHeight="false" outlineLevel="0" collapsed="false">
      <c r="A49" s="5" t="n">
        <v>69</v>
      </c>
      <c r="B49" s="21" t="n">
        <v>325.847</v>
      </c>
      <c r="C49" s="30" t="n">
        <v>4.4</v>
      </c>
      <c r="D49" s="31" t="n">
        <f aca="false">C49*PI()/180/3600</f>
        <v>2.13318019688196E-005</v>
      </c>
      <c r="E49" s="26" t="n">
        <f aca="false">B49*1000000/($I$6*1000)^2*180/PI()*3600</f>
        <v>2.33726445758796</v>
      </c>
      <c r="F49" s="26" t="n">
        <f aca="false">C49-E49</f>
        <v>2.06273554241204</v>
      </c>
    </row>
    <row r="50" customFormat="false" ht="15" hidden="false" customHeight="false" outlineLevel="0" collapsed="false">
      <c r="A50" s="5" t="n">
        <v>70</v>
      </c>
      <c r="B50" s="21" t="n">
        <v>340.294</v>
      </c>
      <c r="C50" s="30" t="n">
        <v>4.19</v>
      </c>
      <c r="D50" s="31" t="n">
        <f aca="false">C50*PI()/180/3600</f>
        <v>2.03136932384896E-005</v>
      </c>
      <c r="E50" s="26" t="n">
        <f aca="false">B50*1000000/($I$6*1000)^2*180/PI()*3600</f>
        <v>2.44089118920978</v>
      </c>
      <c r="F50" s="26" t="n">
        <f aca="false">C50-E50</f>
        <v>1.74910881079022</v>
      </c>
    </row>
    <row r="51" customFormat="false" ht="15" hidden="false" customHeight="false" outlineLevel="0" collapsed="false">
      <c r="A51" s="5" t="n">
        <v>71</v>
      </c>
      <c r="B51" s="21" t="n">
        <v>144.639</v>
      </c>
      <c r="C51" s="30" t="n">
        <v>3.64</v>
      </c>
      <c r="D51" s="31" t="n">
        <f aca="false">C51*PI()/180/3600</f>
        <v>1.76472179923871E-005</v>
      </c>
      <c r="E51" s="26" t="n">
        <f aca="false">B51*1000000/($I$6*1000)^2*180/PI()*3600</f>
        <v>1.03747953450873</v>
      </c>
      <c r="F51" s="26" t="n">
        <f aca="false">C51-E51</f>
        <v>2.60252046549127</v>
      </c>
    </row>
    <row r="52" customFormat="false" ht="15" hidden="false" customHeight="false" outlineLevel="0" collapsed="false">
      <c r="A52" s="5" t="n">
        <v>72</v>
      </c>
      <c r="B52" s="21" t="n">
        <v>173.972</v>
      </c>
      <c r="C52" s="30" t="n">
        <v>5.55</v>
      </c>
      <c r="D52" s="31" t="n">
        <f aca="false">C52*PI()/180/3600</f>
        <v>2.69071593015792E-005</v>
      </c>
      <c r="E52" s="26" t="n">
        <f aca="false">B52*1000000/($I$6*1000)^2*180/PI()*3600</f>
        <v>1.24788189615216</v>
      </c>
      <c r="F52" s="26" t="n">
        <f aca="false">C52-E52</f>
        <v>4.30211810384784</v>
      </c>
    </row>
    <row r="53" customFormat="false" ht="15" hidden="false" customHeight="false" outlineLevel="0" collapsed="false">
      <c r="A53" s="5" t="n">
        <v>73</v>
      </c>
      <c r="B53" s="21" t="n">
        <v>153.352</v>
      </c>
      <c r="C53" s="30" t="n">
        <v>0.58</v>
      </c>
      <c r="D53" s="31" t="n">
        <f aca="false">C53*PI()/180/3600</f>
        <v>2.81191935043531E-006</v>
      </c>
      <c r="E53" s="26" t="n">
        <f aca="false">B53*1000000/($I$6*1000)^2*180/PI()*3600</f>
        <v>1.09997691892216</v>
      </c>
      <c r="F53" s="26" t="n">
        <f aca="false">C53-E53</f>
        <v>-0.519976918922161</v>
      </c>
    </row>
    <row r="54" customFormat="false" ht="15" hidden="false" customHeight="false" outlineLevel="0" collapsed="false">
      <c r="A54" s="5" t="n">
        <v>74</v>
      </c>
      <c r="B54" s="21" t="n">
        <v>166.756</v>
      </c>
      <c r="C54" s="30" t="n">
        <v>2.32</v>
      </c>
      <c r="D54" s="31" t="n">
        <f aca="false">C54*PI()/180/3600</f>
        <v>1.12476774017412E-005</v>
      </c>
      <c r="E54" s="26" t="n">
        <f aca="false">B54*1000000/($I$6*1000)^2*180/PI()*3600</f>
        <v>1.19612232701095</v>
      </c>
      <c r="F54" s="26" t="n">
        <f aca="false">C54-E54</f>
        <v>1.12387767298905</v>
      </c>
    </row>
    <row r="55" customFormat="false" ht="15" hidden="false" customHeight="false" outlineLevel="0" collapsed="false">
      <c r="A55" s="5" t="n">
        <v>75</v>
      </c>
      <c r="B55" s="21" t="n">
        <v>285.585</v>
      </c>
      <c r="C55" s="30" t="n">
        <v>5.84</v>
      </c>
      <c r="D55" s="31" t="n">
        <f aca="false">C55*PI()/180/3600</f>
        <v>2.83131189767969E-005</v>
      </c>
      <c r="E55" s="26" t="n">
        <f aca="false">B55*1000000/($I$6*1000)^2*180/PI()*3600</f>
        <v>2.04846958885691</v>
      </c>
      <c r="F55" s="26" t="n">
        <f aca="false">C55-E55</f>
        <v>3.79153041114309</v>
      </c>
    </row>
    <row r="56" customFormat="false" ht="15" hidden="false" customHeight="false" outlineLevel="0" collapsed="false">
      <c r="A56" s="5" t="n">
        <v>76</v>
      </c>
      <c r="B56" s="21" t="n">
        <v>427.363</v>
      </c>
      <c r="C56" s="30" t="n">
        <v>1.46</v>
      </c>
      <c r="D56" s="31" t="n">
        <f aca="false">C56*PI()/180/3600</f>
        <v>7.07827974419923E-006</v>
      </c>
      <c r="E56" s="26" t="n">
        <f aca="false">B56*1000000/($I$6*1000)^2*180/PI()*3600</f>
        <v>3.06542748709721</v>
      </c>
      <c r="F56" s="26" t="n">
        <f aca="false">C56-E56</f>
        <v>-1.60542748709721</v>
      </c>
    </row>
    <row r="57" customFormat="false" ht="15" hidden="false" customHeight="false" outlineLevel="0" collapsed="false">
      <c r="A57" s="5" t="n">
        <v>77</v>
      </c>
      <c r="B57" s="21" t="n">
        <v>422.493</v>
      </c>
      <c r="C57" s="30" t="n">
        <v>4.48</v>
      </c>
      <c r="D57" s="31" t="n">
        <f aca="false">C57*PI()/180/3600</f>
        <v>2.17196529137072E-005</v>
      </c>
      <c r="E57" s="26" t="n">
        <f aca="false">B57*1000000/($I$6*1000)^2*180/PI()*3600</f>
        <v>3.03049551623833</v>
      </c>
      <c r="F57" s="26" t="n">
        <f aca="false">C57-E57</f>
        <v>1.44950448376167</v>
      </c>
    </row>
    <row r="58" customFormat="false" ht="15" hidden="false" customHeight="false" outlineLevel="0" collapsed="false">
      <c r="A58" s="5" t="n">
        <v>78</v>
      </c>
      <c r="B58" s="21" t="n">
        <v>262.188</v>
      </c>
      <c r="C58" s="30" t="n">
        <v>3.89</v>
      </c>
      <c r="D58" s="31" t="n">
        <f aca="false">C58*PI()/180/3600</f>
        <v>1.88592521951609E-005</v>
      </c>
      <c r="E58" s="26" t="n">
        <f aca="false">B58*1000000/($I$6*1000)^2*180/PI()*3600</f>
        <v>1.88064549805913</v>
      </c>
      <c r="F58" s="26" t="n">
        <f aca="false">C58-E58</f>
        <v>2.00935450194087</v>
      </c>
    </row>
    <row r="59" customFormat="false" ht="15" hidden="false" customHeight="false" outlineLevel="0" collapsed="false">
      <c r="A59" s="5" t="n">
        <v>79</v>
      </c>
      <c r="B59" s="21" t="n">
        <v>330.839</v>
      </c>
      <c r="C59" s="30" t="n">
        <v>1.77</v>
      </c>
      <c r="D59" s="31" t="n">
        <f aca="false">C59*PI()/180/3600</f>
        <v>8.58120215563879E-006</v>
      </c>
      <c r="E59" s="26" t="n">
        <f aca="false">B59*1000000/($I$6*1000)^2*180/PI()*3600</f>
        <v>2.37307152094064</v>
      </c>
      <c r="F59" s="26" t="n">
        <f aca="false">C59-E59</f>
        <v>-0.603071520940637</v>
      </c>
    </row>
    <row r="60" customFormat="false" ht="15" hidden="false" customHeight="false" outlineLevel="0" collapsed="false">
      <c r="A60" s="5" t="n">
        <v>80</v>
      </c>
      <c r="B60" s="21" t="n">
        <v>224.396</v>
      </c>
      <c r="C60" s="30" t="n">
        <v>-0.09</v>
      </c>
      <c r="D60" s="31" t="n">
        <f aca="false">C60*PI()/180/3600</f>
        <v>-4.36332312998582E-007</v>
      </c>
      <c r="E60" s="26" t="n">
        <f aca="false">B60*1000000/($I$6*1000)^2*180/PI()*3600</f>
        <v>1.60956766588279</v>
      </c>
      <c r="F60" s="26" t="n">
        <f aca="false">C60-E60</f>
        <v>-1.69956766588279</v>
      </c>
    </row>
    <row r="61" customFormat="false" ht="15" hidden="false" customHeight="false" outlineLevel="0" collapsed="false">
      <c r="A61" s="5" t="n">
        <v>81</v>
      </c>
      <c r="B61" s="21" t="n">
        <v>314.133</v>
      </c>
      <c r="C61" s="30" t="n">
        <v>3.56</v>
      </c>
      <c r="D61" s="31" t="n">
        <f aca="false">C61*PI()/180/3600</f>
        <v>1.72593670474995E-005</v>
      </c>
      <c r="E61" s="26" t="n">
        <f aca="false">B61*1000000/($I$6*1000)^2*180/PI()*3600</f>
        <v>2.25324123240502</v>
      </c>
      <c r="F61" s="26" t="n">
        <f aca="false">C61-E61</f>
        <v>1.30675876759498</v>
      </c>
    </row>
    <row r="62" customFormat="false" ht="15" hidden="false" customHeight="false" outlineLevel="0" collapsed="false">
      <c r="A62" s="5" t="n">
        <v>82</v>
      </c>
      <c r="B62" s="21" t="n">
        <v>485.348</v>
      </c>
      <c r="C62" s="30" t="n">
        <v>3.58</v>
      </c>
      <c r="D62" s="31" t="n">
        <f aca="false">C62*PI()/180/3600</f>
        <v>1.73563297837214E-005</v>
      </c>
      <c r="E62" s="26" t="n">
        <f aca="false">B62*1000000/($I$6*1000)^2*180/PI()*3600</f>
        <v>3.48134747277527</v>
      </c>
      <c r="F62" s="26" t="n">
        <f aca="false">C62-E62</f>
        <v>0.0986525272247336</v>
      </c>
    </row>
    <row r="63" customFormat="false" ht="15" hidden="false" customHeight="false" outlineLevel="0" collapsed="false">
      <c r="A63" s="5" t="n">
        <v>83</v>
      </c>
      <c r="B63" s="21" t="n">
        <v>345.759</v>
      </c>
      <c r="C63" s="30" t="n">
        <v>1.01</v>
      </c>
      <c r="D63" s="31" t="n">
        <f aca="false">C63*PI()/180/3600</f>
        <v>4.89661817920631E-006</v>
      </c>
      <c r="E63" s="26" t="n">
        <f aca="false">B63*1000000/($I$6*1000)^2*180/PI()*3600</f>
        <v>2.48009102919823</v>
      </c>
      <c r="F63" s="26" t="n">
        <f aca="false">C63-E63</f>
        <v>-1.47009102919823</v>
      </c>
    </row>
    <row r="64" customFormat="false" ht="15" hidden="false" customHeight="false" outlineLevel="0" collapsed="false">
      <c r="A64" s="5" t="n">
        <v>84</v>
      </c>
      <c r="B64" s="21" t="n">
        <v>547.115</v>
      </c>
      <c r="C64" s="30" t="n">
        <v>3.29</v>
      </c>
      <c r="D64" s="31" t="n">
        <f aca="false">C64*PI()/180/3600</f>
        <v>1.59503701085037E-005</v>
      </c>
      <c r="E64" s="26" t="n">
        <f aca="false">B64*1000000/($I$6*1000)^2*180/PI()*3600</f>
        <v>3.92439532576098</v>
      </c>
      <c r="F64" s="26" t="n">
        <f aca="false">C64-E64</f>
        <v>-0.63439532576098</v>
      </c>
    </row>
    <row r="65" customFormat="false" ht="15" hidden="false" customHeight="false" outlineLevel="0" collapsed="false">
      <c r="A65" s="5" t="n">
        <v>85</v>
      </c>
      <c r="B65" s="21" t="n">
        <v>493.69</v>
      </c>
      <c r="C65" s="30" t="n">
        <v>3.61</v>
      </c>
      <c r="D65" s="31" t="n">
        <f aca="false">C65*PI()/180/3600</f>
        <v>1.75017738880542E-005</v>
      </c>
      <c r="E65" s="26" t="n">
        <f aca="false">B65*1000000/($I$6*1000)^2*180/PI()*3600</f>
        <v>3.54118371526085</v>
      </c>
      <c r="F65" s="26" t="n">
        <f aca="false">C65-E65</f>
        <v>0.0688162847391527</v>
      </c>
    </row>
    <row r="66" customFormat="false" ht="15" hidden="false" customHeight="false" outlineLevel="0" collapsed="false">
      <c r="A66" s="5" t="n">
        <v>86</v>
      </c>
      <c r="B66" s="21" t="n">
        <v>686.326</v>
      </c>
      <c r="C66" s="30" t="n">
        <v>3.05</v>
      </c>
      <c r="D66" s="31" t="n">
        <f aca="false">C66*PI()/180/3600</f>
        <v>1.47868172738408E-005</v>
      </c>
      <c r="E66" s="26" t="n">
        <f aca="false">B66*1000000/($I$6*1000)^2*180/PI()*3600</f>
        <v>4.92294041718511</v>
      </c>
      <c r="F66" s="26" t="n">
        <f aca="false">C66-E66</f>
        <v>-1.87294041718511</v>
      </c>
    </row>
    <row r="67" customFormat="false" ht="15" hidden="false" customHeight="false" outlineLevel="0" collapsed="false">
      <c r="A67" s="5" t="n">
        <v>87</v>
      </c>
      <c r="B67" s="21" t="n">
        <v>747.922</v>
      </c>
      <c r="C67" s="30" t="n">
        <v>4.83</v>
      </c>
      <c r="D67" s="31" t="n">
        <f aca="false">C67*PI()/180/3600</f>
        <v>2.34165007975906E-005</v>
      </c>
      <c r="E67" s="26" t="n">
        <f aca="false">B67*1000000/($I$6*1000)^2*180/PI()*3600</f>
        <v>5.36476170610165</v>
      </c>
      <c r="F67" s="26" t="n">
        <f aca="false">C67-E67</f>
        <v>-0.534761706101649</v>
      </c>
    </row>
    <row r="68" customFormat="false" ht="15" hidden="false" customHeight="false" outlineLevel="0" collapsed="false">
      <c r="A68" s="5" t="n">
        <v>88</v>
      </c>
      <c r="B68" s="21" t="n">
        <v>817.287</v>
      </c>
      <c r="C68" s="30" t="n">
        <v>2.49</v>
      </c>
      <c r="D68" s="31" t="n">
        <f aca="false">C68*PI()/180/3600</f>
        <v>1.20718606596274E-005</v>
      </c>
      <c r="E68" s="26" t="n">
        <f aca="false">B68*1000000/($I$6*1000)^2*180/PI()*3600</f>
        <v>5.86230917193865</v>
      </c>
      <c r="F68" s="26" t="n">
        <f aca="false">C68-E68</f>
        <v>-3.37230917193865</v>
      </c>
    </row>
    <row r="69" customFormat="false" ht="15" hidden="false" customHeight="false" outlineLevel="0" collapsed="false">
      <c r="A69" s="5" t="n">
        <v>89</v>
      </c>
      <c r="B69" s="21" t="n">
        <v>563.747</v>
      </c>
      <c r="C69" s="30" t="n">
        <v>2.53</v>
      </c>
      <c r="D69" s="31" t="n">
        <f aca="false">C69*PI()/180/3600</f>
        <v>1.22657861320713E-005</v>
      </c>
      <c r="E69" s="26" t="n">
        <f aca="false">B69*1000000/($I$6*1000)^2*180/PI()*3600</f>
        <v>4.04369482048888</v>
      </c>
      <c r="F69" s="26" t="n">
        <f aca="false">C69-E69</f>
        <v>-1.51369482048888</v>
      </c>
    </row>
    <row r="70" customFormat="false" ht="15" hidden="false" customHeight="false" outlineLevel="0" collapsed="false">
      <c r="A70" s="5" t="n">
        <v>90</v>
      </c>
      <c r="B70" s="21" t="n">
        <v>342.943</v>
      </c>
      <c r="C70" s="30" t="n">
        <v>4.14</v>
      </c>
      <c r="D70" s="31" t="n">
        <f aca="false">C70*PI()/180/3600</f>
        <v>2.00712863979348E-005</v>
      </c>
      <c r="E70" s="26" t="n">
        <f aca="false">B70*1000000/($I$6*1000)^2*180/PI()*3600</f>
        <v>2.459892172948</v>
      </c>
      <c r="F70" s="26" t="n">
        <f aca="false">C70-E70</f>
        <v>1.680107827052</v>
      </c>
    </row>
    <row r="71" customFormat="false" ht="15" hidden="false" customHeight="false" outlineLevel="0" collapsed="false">
      <c r="A71" s="5" t="n">
        <v>91</v>
      </c>
      <c r="B71" s="21" t="n">
        <v>519.129</v>
      </c>
      <c r="C71" s="30" t="n">
        <v>4.89</v>
      </c>
      <c r="D71" s="31" t="n">
        <f aca="false">C71*PI()/180/3600</f>
        <v>2.37073890062563E-005</v>
      </c>
      <c r="E71" s="26" t="n">
        <f aca="false">B71*1000000/($I$6*1000)^2*180/PI()*3600</f>
        <v>3.72365484599576</v>
      </c>
      <c r="F71" s="26" t="n">
        <f aca="false">C71-E71</f>
        <v>1.16634515400424</v>
      </c>
    </row>
    <row r="72" customFormat="false" ht="15" hidden="false" customHeight="false" outlineLevel="0" collapsed="false">
      <c r="A72" s="5" t="n">
        <v>92</v>
      </c>
      <c r="B72" s="21" t="n">
        <v>391.424</v>
      </c>
      <c r="C72" s="30" t="n">
        <v>2.89</v>
      </c>
      <c r="D72" s="31" t="n">
        <f aca="false">C72*PI()/180/3600</f>
        <v>1.40111153840656E-005</v>
      </c>
      <c r="E72" s="26" t="n">
        <f aca="false">B72*1000000/($I$6*1000)^2*180/PI()*3600</f>
        <v>2.80764101878155</v>
      </c>
      <c r="F72" s="26" t="n">
        <f aca="false">C72-E72</f>
        <v>0.0823589812184538</v>
      </c>
    </row>
    <row r="73" customFormat="false" ht="15" hidden="false" customHeight="false" outlineLevel="0" collapsed="false">
      <c r="A73" s="5" t="n">
        <v>93</v>
      </c>
      <c r="B73" s="21" t="n">
        <v>332.48</v>
      </c>
      <c r="C73" s="30" t="n">
        <v>3.38</v>
      </c>
      <c r="D73" s="31" t="n">
        <f aca="false">C73*PI()/180/3600</f>
        <v>1.63867024215023E-005</v>
      </c>
      <c r="E73" s="26" t="n">
        <f aca="false">B73*1000000/($I$6*1000)^2*180/PI()*3600</f>
        <v>2.38484223227111</v>
      </c>
      <c r="F73" s="26" t="n">
        <f aca="false">C73-E73</f>
        <v>0.995157767728886</v>
      </c>
    </row>
    <row r="74" customFormat="false" ht="15" hidden="false" customHeight="false" outlineLevel="0" collapsed="false">
      <c r="A74" s="5" t="n">
        <v>94</v>
      </c>
      <c r="B74" s="21" t="n">
        <v>312.115</v>
      </c>
      <c r="C74" s="30" t="n">
        <v>4.32</v>
      </c>
      <c r="D74" s="31" t="n">
        <f aca="false">C74*PI()/180/3600</f>
        <v>2.0943951023932E-005</v>
      </c>
      <c r="E74" s="26" t="n">
        <f aca="false">B74*1000000/($I$6*1000)^2*180/PI()*3600</f>
        <v>2.23876634181093</v>
      </c>
      <c r="F74" s="26" t="n">
        <f aca="false">C74-E74</f>
        <v>2.08123365818907</v>
      </c>
    </row>
    <row r="75" customFormat="false" ht="15" hidden="false" customHeight="false" outlineLevel="0" collapsed="false">
      <c r="A75" s="5" t="n">
        <v>95</v>
      </c>
      <c r="B75" s="21" t="n">
        <v>308.119</v>
      </c>
      <c r="C75" s="30" t="n">
        <v>3.42</v>
      </c>
      <c r="D75" s="31" t="n">
        <f aca="false">C75*PI()/180/3600</f>
        <v>1.65806278939461E-005</v>
      </c>
      <c r="E75" s="26" t="n">
        <f aca="false">B75*1000000/($I$6*1000)^2*180/PI()*3600</f>
        <v>2.21010347619449</v>
      </c>
      <c r="F75" s="26" t="n">
        <f aca="false">C75-E75</f>
        <v>1.20989652380551</v>
      </c>
    </row>
    <row r="76" customFormat="false" ht="15" hidden="false" customHeight="false" outlineLevel="0" collapsed="false">
      <c r="A76" s="5" t="n">
        <v>96</v>
      </c>
      <c r="B76" s="21" t="n">
        <v>443.366</v>
      </c>
      <c r="C76" s="30" t="n">
        <v>2.75</v>
      </c>
      <c r="D76" s="31" t="n">
        <f aca="false">C76*PI()/180/3600</f>
        <v>1.33323762305122E-005</v>
      </c>
      <c r="E76" s="26" t="n">
        <f aca="false">B76*1000000/($I$6*1000)^2*180/PI()*3600</f>
        <v>3.18021523445956</v>
      </c>
      <c r="F76" s="26" t="n">
        <f aca="false">C76-E76</f>
        <v>-0.430215234459561</v>
      </c>
    </row>
    <row r="77" customFormat="false" ht="15" hidden="false" customHeight="false" outlineLevel="0" collapsed="false">
      <c r="A77" s="5" t="n">
        <v>97</v>
      </c>
      <c r="B77" s="21" t="n">
        <v>409.852</v>
      </c>
      <c r="C77" s="30" t="n">
        <v>4.37</v>
      </c>
      <c r="D77" s="31" t="n">
        <f aca="false">C77*PI()/180/3600</f>
        <v>2.11863578644867E-005</v>
      </c>
      <c r="E77" s="26" t="n">
        <f aca="false">B77*1000000/($I$6*1000)^2*180/PI()*3600</f>
        <v>2.9398230226804</v>
      </c>
      <c r="F77" s="26" t="n">
        <f aca="false">C77-E77</f>
        <v>1.4301769773196</v>
      </c>
    </row>
    <row r="78" customFormat="false" ht="15" hidden="false" customHeight="false" outlineLevel="0" collapsed="false">
      <c r="A78" s="5" t="n">
        <v>98</v>
      </c>
      <c r="B78" s="21" t="n">
        <v>296.426</v>
      </c>
      <c r="C78" s="30" t="n">
        <v>2.18</v>
      </c>
      <c r="D78" s="31" t="n">
        <f aca="false">C78*PI()/180/3600</f>
        <v>1.05689382481879E-005</v>
      </c>
      <c r="E78" s="26" t="n">
        <f aca="false">B78*1000000/($I$6*1000)^2*180/PI()*3600</f>
        <v>2.12623088168671</v>
      </c>
      <c r="F78" s="26" t="n">
        <f aca="false">C78-E78</f>
        <v>0.0537691183132902</v>
      </c>
    </row>
    <row r="79" customFormat="false" ht="15" hidden="false" customHeight="false" outlineLevel="0" collapsed="false">
      <c r="A79" s="5" t="n">
        <v>99</v>
      </c>
      <c r="B79" s="21" t="n">
        <v>431.337</v>
      </c>
      <c r="C79" s="30" t="n">
        <v>1.64</v>
      </c>
      <c r="D79" s="31" t="n">
        <f aca="false">C79*PI()/180/3600</f>
        <v>7.95094437019639E-006</v>
      </c>
      <c r="E79" s="26" t="n">
        <f aca="false">B79*1000000/($I$6*1000)^2*180/PI()*3600</f>
        <v>3.0939325491492</v>
      </c>
      <c r="F79" s="26" t="n">
        <f aca="false">C79-E79</f>
        <v>-1.4539325491492</v>
      </c>
    </row>
    <row r="80" customFormat="false" ht="15" hidden="false" customHeight="false" outlineLevel="0" collapsed="false">
      <c r="A80" s="5" t="n">
        <v>100</v>
      </c>
      <c r="B80" s="21" t="n">
        <v>334.76</v>
      </c>
      <c r="C80" s="30" t="n">
        <v>2.22</v>
      </c>
      <c r="D80" s="31" t="n">
        <f aca="false">C80*PI()/180/3600</f>
        <v>1.07628637206317E-005</v>
      </c>
      <c r="E80" s="26" t="n">
        <f aca="false">B80*1000000/($I$6*1000)^2*180/PI()*3600</f>
        <v>2.40119641986008</v>
      </c>
      <c r="F80" s="26" t="n">
        <f aca="false">C80-E80</f>
        <v>-0.181196419860076</v>
      </c>
    </row>
    <row r="81" customFormat="false" ht="15" hidden="false" customHeight="false" outlineLevel="0" collapsed="false">
      <c r="A81" s="5" t="n">
        <v>101</v>
      </c>
      <c r="B81" s="21" t="n">
        <v>254.269</v>
      </c>
      <c r="C81" s="30" t="n">
        <v>2.49</v>
      </c>
      <c r="D81" s="31" t="n">
        <f aca="false">C81*PI()/180/3600</f>
        <v>1.20718606596274E-005</v>
      </c>
      <c r="E81" s="26" t="n">
        <f aca="false">B81*1000000/($I$6*1000)^2*180/PI()*3600</f>
        <v>1.82384338774466</v>
      </c>
      <c r="F81" s="26" t="n">
        <f aca="false">C81-E81</f>
        <v>0.666156612255342</v>
      </c>
    </row>
    <row r="82" customFormat="false" ht="15" hidden="false" customHeight="false" outlineLevel="0" collapsed="false">
      <c r="A82" s="5" t="n">
        <v>102</v>
      </c>
      <c r="B82" s="21" t="n">
        <v>92.964</v>
      </c>
      <c r="C82" s="30" t="n">
        <v>0.14</v>
      </c>
      <c r="D82" s="31" t="n">
        <f aca="false">C82*PI()/180/3600</f>
        <v>6.7873915355335E-007</v>
      </c>
      <c r="E82" s="26" t="n">
        <f aca="false">B82*1000000/($I$6*1000)^2*180/PI()*3600</f>
        <v>0.666820480272052</v>
      </c>
      <c r="F82" s="26" t="n">
        <f aca="false">C82-E82</f>
        <v>-0.526820480272052</v>
      </c>
    </row>
    <row r="83" customFormat="false" ht="15" hidden="false" customHeight="false" outlineLevel="0" collapsed="false">
      <c r="A83" s="5" t="n">
        <v>103</v>
      </c>
      <c r="B83" s="21" t="n">
        <v>86.417</v>
      </c>
      <c r="C83" s="30" t="n">
        <v>0.5</v>
      </c>
      <c r="D83" s="31" t="n">
        <f aca="false">C83*PI()/180/3600</f>
        <v>2.42406840554768E-006</v>
      </c>
      <c r="E83" s="26" t="n">
        <f aca="false">B83*1000000/($I$6*1000)^2*180/PI()*3600</f>
        <v>0.619859574068133</v>
      </c>
      <c r="F83" s="26" t="n">
        <f aca="false">C83-E83</f>
        <v>-0.119859574068133</v>
      </c>
    </row>
    <row r="84" customFormat="false" ht="15" hidden="false" customHeight="false" outlineLevel="0" collapsed="false">
      <c r="A84" s="5" t="n">
        <v>104</v>
      </c>
      <c r="B84" s="21" t="n">
        <v>54.633</v>
      </c>
      <c r="C84" s="30" t="n">
        <v>0.28</v>
      </c>
      <c r="D84" s="31" t="n">
        <f aca="false">C84*PI()/180/3600</f>
        <v>1.3574783071067E-006</v>
      </c>
      <c r="E84" s="26" t="n">
        <f aca="false">B84*1000000/($I$6*1000)^2*180/PI()*3600</f>
        <v>0.391876460766566</v>
      </c>
      <c r="F84" s="26" t="n">
        <f aca="false">C84-E84</f>
        <v>-0.111876460766566</v>
      </c>
    </row>
    <row r="85" customFormat="false" ht="15" hidden="false" customHeight="false" outlineLevel="0" collapsed="false">
      <c r="A85" s="5" t="n">
        <v>105</v>
      </c>
      <c r="B85" s="21" t="n">
        <v>400.67</v>
      </c>
      <c r="C85" s="30" t="n">
        <v>2.16</v>
      </c>
      <c r="D85" s="31" t="n">
        <f aca="false">C85*PI()/180/3600</f>
        <v>1.0471975511966E-005</v>
      </c>
      <c r="E85" s="26" t="n">
        <f aca="false">B85*1000000/($I$6*1000)^2*180/PI()*3600</f>
        <v>2.87396155318836</v>
      </c>
      <c r="F85" s="26" t="n">
        <f aca="false">C85-E85</f>
        <v>-0.713961553188364</v>
      </c>
    </row>
    <row r="86" customFormat="false" ht="15" hidden="false" customHeight="false" outlineLevel="0" collapsed="false">
      <c r="A86" s="5" t="n">
        <v>106</v>
      </c>
      <c r="B86" s="21" t="n">
        <v>315.797</v>
      </c>
      <c r="C86" s="30" t="n">
        <v>3.74</v>
      </c>
      <c r="D86" s="31" t="n">
        <f aca="false">C86*PI()/180/3600</f>
        <v>1.81320316734967E-005</v>
      </c>
      <c r="E86" s="26" t="n">
        <f aca="false">B86*1000000/($I$6*1000)^2*180/PI()*3600</f>
        <v>2.26517692018925</v>
      </c>
      <c r="F86" s="26" t="n">
        <f aca="false">C86-E86</f>
        <v>1.47482307981075</v>
      </c>
    </row>
    <row r="87" customFormat="false" ht="15" hidden="false" customHeight="false" outlineLevel="0" collapsed="false">
      <c r="A87" s="5" t="n">
        <v>107</v>
      </c>
      <c r="B87" s="21" t="n">
        <v>269.549</v>
      </c>
      <c r="C87" s="30" t="n">
        <v>0.75</v>
      </c>
      <c r="D87" s="31" t="n">
        <f aca="false">C87*PI()/180/3600</f>
        <v>3.63610260832152E-006</v>
      </c>
      <c r="E87" s="26" t="n">
        <f aca="false">B87*1000000/($I$6*1000)^2*180/PI()*3600</f>
        <v>1.93344513614788</v>
      </c>
      <c r="F87" s="26" t="n">
        <f aca="false">C87-E87</f>
        <v>-1.18344513614788</v>
      </c>
    </row>
    <row r="88" customFormat="false" ht="15" hidden="false" customHeight="false" outlineLevel="0" collapsed="false">
      <c r="A88" s="5" t="n">
        <v>108</v>
      </c>
      <c r="B88" s="21" t="n">
        <v>467.336</v>
      </c>
      <c r="C88" s="30" t="n">
        <v>6.33</v>
      </c>
      <c r="D88" s="31" t="n">
        <f aca="false">C88*PI()/180/3600</f>
        <v>3.06887060142336E-005</v>
      </c>
      <c r="E88" s="26" t="n">
        <f aca="false">B88*1000000/($I$6*1000)^2*180/PI()*3600</f>
        <v>3.35214939082247</v>
      </c>
      <c r="F88" s="26" t="n">
        <f aca="false">C88-E88</f>
        <v>2.97785060917753</v>
      </c>
    </row>
    <row r="89" customFormat="false" ht="15" hidden="false" customHeight="false" outlineLevel="0" collapsed="false">
      <c r="A89" s="5" t="n">
        <v>109</v>
      </c>
      <c r="B89" s="21" t="n">
        <v>260.221</v>
      </c>
      <c r="C89" s="30" t="n">
        <v>1.17</v>
      </c>
      <c r="D89" s="31" t="n">
        <f aca="false">C89*PI()/180/3600</f>
        <v>5.67232006898157E-006</v>
      </c>
      <c r="E89" s="26" t="n">
        <f aca="false">B89*1000000/($I$6*1000)^2*180/PI()*3600</f>
        <v>1.866536424819</v>
      </c>
      <c r="F89" s="26" t="n">
        <f aca="false">C89-E89</f>
        <v>-0.696536424819001</v>
      </c>
    </row>
    <row r="90" customFormat="false" ht="15" hidden="false" customHeight="false" outlineLevel="0" collapsed="false">
      <c r="A90" s="5" t="n">
        <v>110</v>
      </c>
      <c r="B90" s="21" t="n">
        <v>435.009</v>
      </c>
      <c r="C90" s="30" t="n">
        <v>2.81</v>
      </c>
      <c r="D90" s="31" t="n">
        <f aca="false">C90*PI()/180/3600</f>
        <v>1.3623264439178E-005</v>
      </c>
      <c r="E90" s="26" t="n">
        <f aca="false">B90*1000000/($I$6*1000)^2*180/PI()*3600</f>
        <v>3.12027139863458</v>
      </c>
      <c r="F90" s="26" t="n">
        <f aca="false">C90-E90</f>
        <v>-0.310271398634579</v>
      </c>
    </row>
    <row r="91" customFormat="false" ht="15" hidden="false" customHeight="false" outlineLevel="0" collapsed="false">
      <c r="A91" s="5" t="n">
        <v>111</v>
      </c>
      <c r="B91" s="21" t="n">
        <v>377.974</v>
      </c>
      <c r="C91" s="30" t="n">
        <v>2.48</v>
      </c>
      <c r="D91" s="31" t="n">
        <f aca="false">C91*PI()/180/3600</f>
        <v>1.20233792915165E-005</v>
      </c>
      <c r="E91" s="26" t="n">
        <f aca="false">B91*1000000/($I$6*1000)^2*180/PI()*3600</f>
        <v>2.71116565778526</v>
      </c>
      <c r="F91" s="26" t="n">
        <f aca="false">C91-E91</f>
        <v>-0.231165657785256</v>
      </c>
    </row>
    <row r="92" customFormat="false" ht="15" hidden="false" customHeight="false" outlineLevel="0" collapsed="false">
      <c r="A92" s="5" t="n">
        <v>112</v>
      </c>
      <c r="B92" s="21" t="n">
        <v>378.795</v>
      </c>
      <c r="C92" s="30" t="n">
        <v>2.74</v>
      </c>
      <c r="D92" s="31" t="n">
        <f aca="false">C92*PI()/180/3600</f>
        <v>1.32838948624013E-005</v>
      </c>
      <c r="E92" s="26" t="n">
        <f aca="false">B92*1000000/($I$6*1000)^2*180/PI()*3600</f>
        <v>2.71705459989514</v>
      </c>
      <c r="F92" s="26" t="n">
        <f aca="false">C92-E92</f>
        <v>0.022945400104859</v>
      </c>
    </row>
    <row r="93" customFormat="false" ht="15" hidden="false" customHeight="false" outlineLevel="0" collapsed="false">
      <c r="A93" s="5" t="n">
        <v>113</v>
      </c>
      <c r="B93" s="21" t="n">
        <v>655.251</v>
      </c>
      <c r="C93" s="30" t="n">
        <v>6.97</v>
      </c>
      <c r="D93" s="31" t="n">
        <f aca="false">C93*PI()/180/3600</f>
        <v>3.37915135733347E-005</v>
      </c>
      <c r="E93" s="26" t="n">
        <f aca="false">B93*1000000/($I$6*1000)^2*180/PI()*3600</f>
        <v>4.70004288239256</v>
      </c>
      <c r="F93" s="26" t="n">
        <f aca="false">C93-E93</f>
        <v>2.26995711760744</v>
      </c>
    </row>
    <row r="94" customFormat="false" ht="15" hidden="false" customHeight="false" outlineLevel="0" collapsed="false">
      <c r="A94" s="5" t="n">
        <v>114</v>
      </c>
      <c r="B94" s="21" t="n">
        <v>281.61</v>
      </c>
      <c r="C94" s="30" t="n">
        <v>0.06</v>
      </c>
      <c r="D94" s="31" t="n">
        <f aca="false">C94*PI()/180/3600</f>
        <v>2.90888208665722E-007</v>
      </c>
      <c r="E94" s="26" t="n">
        <f aca="false">B94*1000000/($I$6*1000)^2*180/PI()*3600</f>
        <v>2.01995735391563</v>
      </c>
      <c r="F94" s="26" t="n">
        <f aca="false">C94-E94</f>
        <v>-1.95995735391563</v>
      </c>
    </row>
    <row r="95" customFormat="false" ht="15" hidden="false" customHeight="false" outlineLevel="0" collapsed="false">
      <c r="A95" s="5" t="n">
        <v>115</v>
      </c>
      <c r="B95" s="21" t="n">
        <v>81.441</v>
      </c>
      <c r="C95" s="30" t="n">
        <v>2.37</v>
      </c>
      <c r="D95" s="31" t="n">
        <f aca="false">C95*PI()/180/3600</f>
        <v>1.1490084242296E-005</v>
      </c>
      <c r="E95" s="26" t="n">
        <f aca="false">B95*1000000/($I$6*1000)^2*180/PI()*3600</f>
        <v>0.584167276944152</v>
      </c>
      <c r="F95" s="26" t="n">
        <f aca="false">C95-E95</f>
        <v>1.78583272305585</v>
      </c>
    </row>
  </sheetData>
  <mergeCells count="1">
    <mergeCell ref="H14:K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30"/>
    <col collapsed="false" customWidth="true" hidden="false" outlineLevel="0" max="5" min="4" style="0" width="5"/>
    <col collapsed="false" customWidth="true" hidden="false" outlineLevel="0" max="6" min="6" style="0" width="8"/>
    <col collapsed="false" customWidth="true" hidden="false" outlineLevel="0" max="7" min="7" style="0" width="7"/>
    <col collapsed="false" customWidth="true" hidden="false" outlineLevel="0" max="10" min="8" style="0" width="15"/>
    <col collapsed="false" customWidth="true" hidden="false" outlineLevel="0" max="12" min="11" style="0" width="9"/>
    <col collapsed="false" customWidth="true" hidden="false" outlineLevel="0" max="13" min="13" style="0" width="8"/>
    <col collapsed="false" customWidth="true" hidden="false" outlineLevel="0" max="14" min="14" style="0" width="15"/>
    <col collapsed="false" customWidth="true" hidden="false" outlineLevel="0" max="15" min="15" style="0" width="16"/>
    <col collapsed="false" customWidth="true" hidden="false" outlineLevel="0" max="17" min="16" style="0" width="9"/>
    <col collapsed="false" customWidth="true" hidden="false" outlineLevel="0" max="18" min="18" style="0" width="15"/>
    <col collapsed="false" customWidth="true" hidden="false" outlineLevel="0" max="20" min="19" style="0" width="16"/>
    <col collapsed="false" customWidth="true" hidden="false" outlineLevel="0" max="22" min="21" style="0" width="13"/>
    <col collapsed="false" customWidth="true" hidden="false" outlineLevel="0" max="23" min="23" style="0" width="9"/>
    <col collapsed="false" customWidth="true" hidden="false" outlineLevel="0" max="24" min="24" style="0" width="13"/>
    <col collapsed="false" customWidth="true" hidden="false" outlineLevel="0" max="25" min="25" style="0" width="9"/>
  </cols>
  <sheetData>
    <row r="1" customFormat="false" ht="16.15" hidden="false" customHeight="false" outlineLevel="0" collapsed="false">
      <c r="A1" s="27" t="s">
        <v>65</v>
      </c>
    </row>
    <row r="2" customFormat="false" ht="15" hidden="false" customHeight="false" outlineLevel="0" collapsed="false">
      <c r="A2" s="2" t="s">
        <v>66</v>
      </c>
    </row>
    <row r="4" customFormat="false" ht="57.75" hidden="false" customHeight="true" outlineLevel="0" collapsed="false">
      <c r="A4" s="37" t="s">
        <v>67</v>
      </c>
      <c r="B4" s="37" t="s">
        <v>68</v>
      </c>
      <c r="C4" s="37" t="s">
        <v>69</v>
      </c>
      <c r="D4" s="37" t="s">
        <v>70</v>
      </c>
      <c r="E4" s="37" t="s">
        <v>71</v>
      </c>
      <c r="F4" s="37" t="s">
        <v>72</v>
      </c>
      <c r="G4" s="37" t="s">
        <v>73</v>
      </c>
      <c r="H4" s="37" t="s">
        <v>74</v>
      </c>
      <c r="I4" s="37" t="s">
        <v>75</v>
      </c>
      <c r="J4" s="37" t="s">
        <v>76</v>
      </c>
      <c r="K4" s="37" t="s">
        <v>77</v>
      </c>
      <c r="L4" s="37" t="s">
        <v>78</v>
      </c>
      <c r="M4" s="37" t="s">
        <v>79</v>
      </c>
      <c r="N4" s="37" t="s">
        <v>80</v>
      </c>
      <c r="O4" s="37" t="s">
        <v>81</v>
      </c>
      <c r="P4" s="37" t="s">
        <v>82</v>
      </c>
      <c r="Q4" s="37" t="s">
        <v>83</v>
      </c>
      <c r="R4" s="37" t="s">
        <v>84</v>
      </c>
      <c r="S4" s="37" t="s">
        <v>85</v>
      </c>
      <c r="T4" s="37" t="s">
        <v>86</v>
      </c>
      <c r="U4" s="37" t="s">
        <v>87</v>
      </c>
      <c r="V4" s="37" t="s">
        <v>88</v>
      </c>
      <c r="W4" s="37" t="s">
        <v>89</v>
      </c>
      <c r="X4" s="37" t="s">
        <v>90</v>
      </c>
      <c r="Y4" s="37" t="s">
        <v>91</v>
      </c>
    </row>
    <row r="5" customFormat="false" ht="15" hidden="false" customHeight="false" outlineLevel="0" collapsed="false">
      <c r="A5" s="5" t="n">
        <v>1</v>
      </c>
      <c r="B5" s="5" t="s">
        <v>92</v>
      </c>
      <c r="C5" s="5" t="s">
        <v>93</v>
      </c>
      <c r="D5" s="38" t="n">
        <v>42</v>
      </c>
      <c r="E5" s="38" t="n">
        <v>6</v>
      </c>
      <c r="F5" s="30" t="n">
        <v>9.73</v>
      </c>
      <c r="G5" s="30" t="n">
        <v>0.34</v>
      </c>
      <c r="H5" s="16" t="n">
        <v>9.8263739216</v>
      </c>
      <c r="I5" s="12" t="n">
        <f aca="false">H5</f>
        <v>9.8263739216</v>
      </c>
      <c r="J5" s="12" t="n">
        <f aca="false">10+LOG10(SIN(RADIANS(D5+E5/60+F5/3600)))</f>
        <v>9.8263739214188</v>
      </c>
      <c r="K5" s="25" t="n">
        <f aca="false">(I5-J5)*10000000000</f>
        <v>1.81200832116701</v>
      </c>
      <c r="L5" s="39" t="s">
        <v>94</v>
      </c>
      <c r="N5" s="16" t="n">
        <v>3.9913641417</v>
      </c>
      <c r="O5" s="40" t="n">
        <f aca="false">N5</f>
        <v>3.9913641417</v>
      </c>
      <c r="P5" s="41" t="n">
        <f aca="false">IF(N5="","",(O5-N5)*10000000000)</f>
        <v>0</v>
      </c>
      <c r="Q5" s="38" t="n">
        <v>0</v>
      </c>
      <c r="R5" s="12" t="n">
        <f aca="false">I5-COS(RADIANS(D5+E5/60+F5/3600))/SIN(RADIANS(D5+E5/60+F5/3600))*RADIANS(Q5/3600)/LN(10)</f>
        <v>9.8263739216</v>
      </c>
      <c r="S5" s="40" t="n">
        <f aca="false">N5</f>
        <v>3.9913641417</v>
      </c>
      <c r="T5" s="40" t="n">
        <f aca="false">N5</f>
        <v>3.9913641417</v>
      </c>
      <c r="U5" s="42" t="n">
        <f aca="false">Summary!$C$6*ASIN(10^O5/Summary!$C$6)</f>
        <v>9803.13071187236</v>
      </c>
      <c r="V5" s="15" t="n">
        <v>9803.1307</v>
      </c>
      <c r="W5" s="43" t="n">
        <f aca="false">IF(V5="","",(V5-U5)*Summary!$C$7*1000)</f>
        <v>-0.0231396572087249</v>
      </c>
      <c r="X5" s="44" t="n">
        <f aca="false">U5*Summary!$C$7</f>
        <v>19106.660468577</v>
      </c>
      <c r="Y5" s="26" t="n">
        <f aca="false">(D5+D6+D7-180)*3600+(E5+E6+E7)*60+F5+F6+F7-(G5+G6+G7)</f>
        <v>4.88498130835069E-015</v>
      </c>
    </row>
    <row r="6" customFormat="false" ht="15" hidden="false" customHeight="false" outlineLevel="0" collapsed="false">
      <c r="A6" s="5" t="n">
        <v>1</v>
      </c>
      <c r="B6" s="5" t="s">
        <v>95</v>
      </c>
      <c r="C6" s="5" t="s">
        <v>96</v>
      </c>
      <c r="D6" s="38" t="n">
        <v>74</v>
      </c>
      <c r="E6" s="38" t="n">
        <v>28</v>
      </c>
      <c r="F6" s="30" t="n">
        <v>45.28</v>
      </c>
      <c r="G6" s="30" t="n">
        <v>0.45</v>
      </c>
      <c r="H6" s="16" t="n">
        <v>9.9838668557</v>
      </c>
      <c r="I6" s="12" t="n">
        <f aca="false">H6</f>
        <v>9.9838668557</v>
      </c>
      <c r="J6" s="12" t="n">
        <f aca="false">10+LOG10(SIN(RADIANS(D6+E6/60+F6/3600)))</f>
        <v>9.98386685576693</v>
      </c>
      <c r="K6" s="25" t="n">
        <f aca="false">(I6-J6)*10000000000</f>
        <v>-0.669277966380832</v>
      </c>
      <c r="L6" s="39" t="s">
        <v>94</v>
      </c>
      <c r="N6" s="16" t="n">
        <v>4.1488570758</v>
      </c>
      <c r="O6" s="40" t="n">
        <f aca="false">N6</f>
        <v>4.1488570758</v>
      </c>
      <c r="P6" s="41" t="n">
        <f aca="false">IF(N6="","",(O6-N6)*10000000000)</f>
        <v>0</v>
      </c>
      <c r="Q6" s="38" t="n">
        <v>0</v>
      </c>
      <c r="R6" s="12" t="n">
        <f aca="false">I6-COS(RADIANS(D6+E6/60+F6/3600))/SIN(RADIANS(D6+E6/60+F6/3600))*RADIANS(Q6/3600)/LN(10)</f>
        <v>9.9838668557</v>
      </c>
      <c r="S6" s="40" t="n">
        <f aca="false">N6</f>
        <v>4.1488570758</v>
      </c>
      <c r="T6" s="40" t="n">
        <f aca="false">N6</f>
        <v>4.1488570758</v>
      </c>
      <c r="U6" s="42" t="n">
        <f aca="false">Summary!$C$6*ASIN(10^O6/Summary!$C$6)</f>
        <v>14088.2945104944</v>
      </c>
      <c r="V6" s="15" t="n">
        <v>14088.2945</v>
      </c>
      <c r="W6" s="43" t="n">
        <f aca="false">IF(V6="","",(V6-U6)*Summary!$C$7*1000)</f>
        <v>-0.0204540071386122</v>
      </c>
      <c r="X6" s="44" t="n">
        <f aca="false">U6*Summary!$C$7</f>
        <v>27458.6015126102</v>
      </c>
    </row>
    <row r="7" customFormat="false" ht="15" hidden="false" customHeight="false" outlineLevel="0" collapsed="false">
      <c r="A7" s="45" t="n">
        <v>1</v>
      </c>
      <c r="B7" s="45" t="s">
        <v>97</v>
      </c>
      <c r="C7" s="45" t="s">
        <v>98</v>
      </c>
      <c r="D7" s="46" t="n">
        <v>63</v>
      </c>
      <c r="E7" s="46" t="n">
        <v>25</v>
      </c>
      <c r="F7" s="47" t="n">
        <v>6.17</v>
      </c>
      <c r="G7" s="47" t="n">
        <v>0.39</v>
      </c>
      <c r="H7" s="48" t="n">
        <v>9.9514821779</v>
      </c>
      <c r="I7" s="49" t="n">
        <f aca="false">H7</f>
        <v>9.9514821779</v>
      </c>
      <c r="J7" s="49" t="n">
        <f aca="false">10+LOG10(SIN(RADIANS(D7+E7/60+F7/3600)))</f>
        <v>9.95148217815148</v>
      </c>
      <c r="K7" s="50" t="n">
        <f aca="false">(I7-J7)*10000000000</f>
        <v>-2.51480614110733</v>
      </c>
      <c r="L7" s="51" t="s">
        <v>94</v>
      </c>
      <c r="M7" s="51"/>
      <c r="N7" s="48" t="n">
        <v>4.116472398</v>
      </c>
      <c r="O7" s="52" t="n">
        <f aca="false">N7</f>
        <v>4.116472398</v>
      </c>
      <c r="P7" s="53" t="n">
        <f aca="false">IF(N7="","",(O7-N7)*10000000000)</f>
        <v>0</v>
      </c>
      <c r="Q7" s="46" t="n">
        <v>0</v>
      </c>
      <c r="R7" s="49" t="n">
        <f aca="false">I7-COS(RADIANS(D7+E7/60+F7/3600))/SIN(RADIANS(D7+E7/60+F7/3600))*RADIANS(Q7/3600)/LN(10)</f>
        <v>9.9514821779</v>
      </c>
      <c r="S7" s="52" t="n">
        <f aca="false">N7</f>
        <v>4.116472398</v>
      </c>
      <c r="T7" s="52" t="n">
        <f aca="false">N7</f>
        <v>4.116472398</v>
      </c>
      <c r="U7" s="54" t="n">
        <f aca="false">Summary!$C$6*ASIN(10^O7/Summary!$C$6)</f>
        <v>13075.9592215223</v>
      </c>
      <c r="V7" s="55" t="n">
        <v>13075.9593</v>
      </c>
      <c r="W7" s="56" t="n">
        <f aca="false">IF(V7="","",(V7-U7)*Summary!$C$7*1000)</f>
        <v>0.152955994585438</v>
      </c>
      <c r="X7" s="57" t="n">
        <f aca="false">U7*Summary!$C$7</f>
        <v>25485.5229915491</v>
      </c>
      <c r="Y7" s="51"/>
    </row>
    <row r="8" customFormat="false" ht="15" hidden="false" customHeight="false" outlineLevel="0" collapsed="false">
      <c r="A8" s="58" t="n">
        <v>2</v>
      </c>
      <c r="B8" s="58" t="s">
        <v>92</v>
      </c>
      <c r="C8" s="58" t="s">
        <v>99</v>
      </c>
      <c r="D8" s="59" t="n">
        <v>46</v>
      </c>
      <c r="E8" s="59" t="n">
        <v>52</v>
      </c>
      <c r="F8" s="60" t="n">
        <v>0.32</v>
      </c>
      <c r="G8" s="60" t="n">
        <v>0.21</v>
      </c>
      <c r="H8" s="61" t="n">
        <v>9.8631834478</v>
      </c>
      <c r="I8" s="62" t="n">
        <f aca="false">H8</f>
        <v>9.8631834478</v>
      </c>
      <c r="J8" s="62" t="n">
        <f aca="false">10+LOG10(SIN(RADIANS(D8+E8/60+F8/3600)))</f>
        <v>9.86318344777938</v>
      </c>
      <c r="K8" s="63" t="n">
        <f aca="false">(I8-J8)*10000000000</f>
        <v>0.206235029054369</v>
      </c>
      <c r="L8" s="64" t="s">
        <v>100</v>
      </c>
      <c r="M8" s="64"/>
      <c r="N8" s="61" t="n">
        <v>3.9800462061</v>
      </c>
      <c r="O8" s="65" t="n">
        <f aca="false">O10+I8-I10</f>
        <v>3.9800462061</v>
      </c>
      <c r="P8" s="66" t="n">
        <f aca="false">IF(N8="","",(O8-N8)*10000000000)</f>
        <v>0</v>
      </c>
      <c r="Q8" s="59" t="n">
        <v>0</v>
      </c>
      <c r="R8" s="62" t="n">
        <f aca="false">I8-COS(RADIANS(D8+E8/60+F8/3600))/SIN(RADIANS(D8+E8/60+F8/3600))*RADIANS(Q8/3600)/LN(10)</f>
        <v>9.8631834478</v>
      </c>
      <c r="S8" s="65" t="n">
        <f aca="false">S10+R8-R10</f>
        <v>3.9800462061</v>
      </c>
      <c r="T8" s="65" t="n">
        <f aca="false">T10+J8-J10</f>
        <v>3.980046205859</v>
      </c>
      <c r="U8" s="67" t="n">
        <f aca="false">Summary!$C$6*ASIN(10^O8/Summary!$C$6)</f>
        <v>9550.95556879666</v>
      </c>
      <c r="V8" s="68" t="n">
        <v>9550.9556</v>
      </c>
      <c r="W8" s="69" t="n">
        <f aca="false">IF(V8="","",(V8-U8)*Summary!$C$7*1000)</f>
        <v>0.0608164600242738</v>
      </c>
      <c r="X8" s="70" t="n">
        <f aca="false">U8*Summary!$C$7</f>
        <v>18615.1618872587</v>
      </c>
      <c r="Y8" s="71" t="n">
        <f aca="false">(D8+D9+D10-180)*3600+(E8+E9+E10)*60+F8+F9+F10-(G8+G9+G10)</f>
        <v>0</v>
      </c>
    </row>
    <row r="9" customFormat="false" ht="15" hidden="false" customHeight="false" outlineLevel="0" collapsed="false">
      <c r="A9" s="58" t="n">
        <v>2</v>
      </c>
      <c r="B9" s="58" t="s">
        <v>95</v>
      </c>
      <c r="C9" s="58" t="s">
        <v>101</v>
      </c>
      <c r="D9" s="59" t="n">
        <v>45</v>
      </c>
      <c r="E9" s="59" t="n">
        <v>33</v>
      </c>
      <c r="F9" s="60" t="n">
        <v>44.65</v>
      </c>
      <c r="G9" s="60" t="n">
        <v>0.23</v>
      </c>
      <c r="H9" s="61" t="n">
        <v>9.8537063681</v>
      </c>
      <c r="I9" s="62" t="n">
        <f aca="false">H9</f>
        <v>9.8537063681</v>
      </c>
      <c r="J9" s="62" t="n">
        <f aca="false">10+LOG10(SIN(RADIANS(D9+E9/60+F9/3600)))</f>
        <v>9.853706368428</v>
      </c>
      <c r="K9" s="63" t="n">
        <f aca="false">(I9-J9)*10000000000</f>
        <v>-3.28002514038417</v>
      </c>
      <c r="L9" s="64" t="s">
        <v>100</v>
      </c>
      <c r="M9" s="64"/>
      <c r="N9" s="61" t="n">
        <v>3.9705691264</v>
      </c>
      <c r="O9" s="65" t="n">
        <f aca="false">O10+I9-I10</f>
        <v>3.9705691264</v>
      </c>
      <c r="P9" s="66" t="n">
        <f aca="false">IF(N9="","",(O9-N9)*10000000000)</f>
        <v>0</v>
      </c>
      <c r="Q9" s="59" t="n">
        <v>0</v>
      </c>
      <c r="R9" s="62" t="n">
        <f aca="false">I9-COS(RADIANS(D9+E9/60+F9/3600))/SIN(RADIANS(D9+E9/60+F9/3600))*RADIANS(Q9/3600)/LN(10)</f>
        <v>9.8537063681</v>
      </c>
      <c r="S9" s="65" t="n">
        <f aca="false">S10+R9-R10</f>
        <v>3.9705691264</v>
      </c>
      <c r="T9" s="65" t="n">
        <f aca="false">T10+J9-J10</f>
        <v>3.97056912650763</v>
      </c>
      <c r="U9" s="67" t="n">
        <f aca="false">Summary!$C$6*ASIN(10^O9/Summary!$C$6)</f>
        <v>9344.793710154</v>
      </c>
      <c r="V9" s="68" t="n">
        <v>9344.7937</v>
      </c>
      <c r="W9" s="69" t="n">
        <f aca="false">IF(V9="","",(V9-U9)*Summary!$C$7*1000)</f>
        <v>-0.0197905156560136</v>
      </c>
      <c r="X9" s="70" t="n">
        <f aca="false">U9*Summary!$C$7</f>
        <v>18213.3448809951</v>
      </c>
      <c r="Y9" s="64"/>
    </row>
    <row r="10" customFormat="false" ht="15" hidden="false" customHeight="false" outlineLevel="0" collapsed="false">
      <c r="A10" s="72" t="n">
        <v>2</v>
      </c>
      <c r="B10" s="72" t="s">
        <v>102</v>
      </c>
      <c r="C10" s="72" t="s">
        <v>98</v>
      </c>
      <c r="D10" s="73" t="n">
        <v>87</v>
      </c>
      <c r="E10" s="73" t="n">
        <v>34</v>
      </c>
      <c r="F10" s="74" t="n">
        <v>15.89</v>
      </c>
      <c r="G10" s="74" t="n">
        <v>0.42</v>
      </c>
      <c r="H10" s="75" t="n">
        <v>9.9996096397</v>
      </c>
      <c r="I10" s="76" t="n">
        <f aca="false">H10</f>
        <v>9.9996096397</v>
      </c>
      <c r="J10" s="76" t="n">
        <f aca="false">10+LOG10(SIN(RADIANS(D10+E10/60+F10/3600)))</f>
        <v>9.99960963992037</v>
      </c>
      <c r="K10" s="77" t="n">
        <f aca="false">(I10-J10)*10000000000</f>
        <v>-2.20373053139156</v>
      </c>
      <c r="L10" s="78" t="s">
        <v>103</v>
      </c>
      <c r="M10" s="78" t="n">
        <v>1</v>
      </c>
      <c r="N10" s="79"/>
      <c r="O10" s="79" t="n">
        <f aca="false">O7</f>
        <v>4.116472398</v>
      </c>
      <c r="P10" s="80"/>
      <c r="Q10" s="73" t="n">
        <v>0</v>
      </c>
      <c r="R10" s="76" t="n">
        <f aca="false">I10-COS(RADIANS(D10+E10/60+F10/3600))/SIN(RADIANS(D10+E10/60+F10/3600))*RADIANS(Q10/3600)/LN(10)</f>
        <v>9.9996096397</v>
      </c>
      <c r="S10" s="79" t="n">
        <f aca="false">S7</f>
        <v>4.116472398</v>
      </c>
      <c r="T10" s="79" t="n">
        <f aca="false">T7</f>
        <v>4.116472398</v>
      </c>
      <c r="U10" s="81"/>
      <c r="V10" s="81"/>
      <c r="W10" s="82"/>
      <c r="X10" s="83"/>
      <c r="Y10" s="78"/>
    </row>
    <row r="11" customFormat="false" ht="15" hidden="false" customHeight="false" outlineLevel="0" collapsed="false">
      <c r="A11" s="5" t="n">
        <v>3</v>
      </c>
      <c r="B11" s="5" t="s">
        <v>95</v>
      </c>
      <c r="C11" s="5" t="s">
        <v>104</v>
      </c>
      <c r="D11" s="38" t="n">
        <v>69</v>
      </c>
      <c r="E11" s="38" t="n">
        <v>34</v>
      </c>
      <c r="F11" s="30" t="n">
        <v>45.38</v>
      </c>
      <c r="G11" s="30" t="n">
        <v>0.54</v>
      </c>
      <c r="H11" s="16" t="n">
        <v>9.9718118092</v>
      </c>
      <c r="I11" s="12" t="n">
        <f aca="false">H11</f>
        <v>9.9718118092</v>
      </c>
      <c r="J11" s="12" t="n">
        <f aca="false">10+LOG10(SIN(RADIANS(D11+E11/60+F11/3600)))</f>
        <v>9.97181180938043</v>
      </c>
      <c r="K11" s="25" t="n">
        <f aca="false">(I11-J11)*10000000000</f>
        <v>-1.80429893248402</v>
      </c>
      <c r="L11" s="39" t="s">
        <v>100</v>
      </c>
      <c r="N11" s="16" t="n">
        <v>4.2562771098</v>
      </c>
      <c r="O11" s="40" t="n">
        <f aca="false">O13+I11-I13</f>
        <v>4.2562771097</v>
      </c>
      <c r="P11" s="41" t="n">
        <f aca="false">IF(N11="","",(O11-N11)*10000000000)</f>
        <v>-0.999991200956174</v>
      </c>
      <c r="Q11" s="38" t="n">
        <v>0</v>
      </c>
      <c r="R11" s="12" t="n">
        <f aca="false">I11-COS(RADIANS(D11+E11/60+F11/3600))/SIN(RADIANS(D11+E11/60+F11/3600))*RADIANS(Q11/3600)/LN(10)</f>
        <v>9.9718118092</v>
      </c>
      <c r="S11" s="40" t="n">
        <f aca="false">S13+R11-R13</f>
        <v>4.2562771097</v>
      </c>
      <c r="T11" s="40" t="n">
        <f aca="false">T13+J11-J13</f>
        <v>4.25627710983705</v>
      </c>
      <c r="U11" s="42" t="n">
        <f aca="false">Summary!$C$6*ASIN(10^O11/Summary!$C$6)</f>
        <v>18041.7772745134</v>
      </c>
      <c r="V11" s="15" t="n">
        <v>18041.7773</v>
      </c>
      <c r="W11" s="43" t="n">
        <f aca="false">IF(V11="","",(V11-U11)*Summary!$C$7*1000)</f>
        <v>0.049674413394707</v>
      </c>
      <c r="X11" s="44" t="n">
        <f aca="false">U11*Summary!$C$7</f>
        <v>35164.0840834993</v>
      </c>
      <c r="Y11" s="26" t="n">
        <f aca="false">(D11+D12+D13-180)*3600+(E11+E12+E13)*60+F11+F12+F13-(G11+G12+G13)</f>
        <v>0</v>
      </c>
    </row>
    <row r="12" customFormat="false" ht="15" hidden="false" customHeight="false" outlineLevel="0" collapsed="false">
      <c r="A12" s="5" t="n">
        <v>3</v>
      </c>
      <c r="B12" s="5" t="s">
        <v>97</v>
      </c>
      <c r="C12" s="5" t="s">
        <v>105</v>
      </c>
      <c r="D12" s="38" t="n">
        <v>79</v>
      </c>
      <c r="E12" s="38" t="n">
        <v>48</v>
      </c>
      <c r="F12" s="30" t="n">
        <v>35.35</v>
      </c>
      <c r="G12" s="30" t="n">
        <v>0.68</v>
      </c>
      <c r="H12" s="16" t="n">
        <v>9.9930948079</v>
      </c>
      <c r="I12" s="12" t="n">
        <f aca="false">H12</f>
        <v>9.9930948079</v>
      </c>
      <c r="J12" s="12" t="n">
        <f aca="false">10+LOG10(SIN(RADIANS(D12+E12/60+F12/3600)))</f>
        <v>9.99309480814197</v>
      </c>
      <c r="K12" s="25" t="n">
        <f aca="false">(I12-J12)*10000000000</f>
        <v>-2.41966446878905</v>
      </c>
      <c r="L12" s="39" t="s">
        <v>100</v>
      </c>
      <c r="N12" s="16" t="n">
        <v>4.2775601085</v>
      </c>
      <c r="O12" s="40" t="n">
        <f aca="false">O13+I12-I13</f>
        <v>4.2775601084</v>
      </c>
      <c r="P12" s="41" t="n">
        <f aca="false">IF(N12="","",(O12-N12)*10000000000)</f>
        <v>-0.999991200956174</v>
      </c>
      <c r="Q12" s="38" t="n">
        <v>0</v>
      </c>
      <c r="R12" s="12" t="n">
        <f aca="false">I12-COS(RADIANS(D12+E12/60+F12/3600))/SIN(RADIANS(D12+E12/60+F12/3600))*RADIANS(Q12/3600)/LN(10)</f>
        <v>9.9930948079</v>
      </c>
      <c r="S12" s="40" t="n">
        <f aca="false">S13+R12-R13</f>
        <v>4.2775601084</v>
      </c>
      <c r="T12" s="40" t="n">
        <f aca="false">T13+J12-J13</f>
        <v>4.27756010859859</v>
      </c>
      <c r="U12" s="42" t="n">
        <f aca="false">Summary!$C$6*ASIN(10^O12/Summary!$C$6)</f>
        <v>18947.9636619817</v>
      </c>
      <c r="V12" s="15" t="n">
        <v>18947.9637</v>
      </c>
      <c r="W12" s="43" t="n">
        <f aca="false">IF(V12="","",(V12-U12)*Summary!$C$7*1000)</f>
        <v>0.0740991519408648</v>
      </c>
      <c r="X12" s="44" t="n">
        <f aca="false">U12*Summary!$C$7</f>
        <v>36930.2745113832</v>
      </c>
    </row>
    <row r="13" customFormat="false" ht="15" hidden="false" customHeight="false" outlineLevel="0" collapsed="false">
      <c r="A13" s="45" t="n">
        <v>3</v>
      </c>
      <c r="B13" s="45" t="s">
        <v>106</v>
      </c>
      <c r="C13" s="45" t="s">
        <v>93</v>
      </c>
      <c r="D13" s="46" t="n">
        <v>30</v>
      </c>
      <c r="E13" s="46" t="n">
        <v>36</v>
      </c>
      <c r="F13" s="47" t="n">
        <v>40.94</v>
      </c>
      <c r="G13" s="47" t="n">
        <v>0.45</v>
      </c>
      <c r="H13" s="48" t="n">
        <v>9.7068988412</v>
      </c>
      <c r="I13" s="49" t="n">
        <f aca="false">H13</f>
        <v>9.7068988412</v>
      </c>
      <c r="J13" s="49" t="n">
        <f aca="false">10+LOG10(SIN(RADIANS(D13+E13/60+F13/3600)))</f>
        <v>9.70689884124338</v>
      </c>
      <c r="K13" s="50" t="n">
        <f aca="false">(I13-J13)*10000000000</f>
        <v>-0.433768576613147</v>
      </c>
      <c r="L13" s="51" t="s">
        <v>103</v>
      </c>
      <c r="M13" s="51" t="n">
        <v>1</v>
      </c>
      <c r="N13" s="52"/>
      <c r="O13" s="52" t="n">
        <f aca="false">O5</f>
        <v>3.9913641417</v>
      </c>
      <c r="P13" s="53"/>
      <c r="Q13" s="46" t="n">
        <v>0</v>
      </c>
      <c r="R13" s="49" t="n">
        <f aca="false">I13-COS(RADIANS(D13+E13/60+F13/3600))/SIN(RADIANS(D13+E13/60+F13/3600))*RADIANS(Q13/3600)/LN(10)</f>
        <v>9.7068988412</v>
      </c>
      <c r="S13" s="52" t="n">
        <f aca="false">S5</f>
        <v>3.9913641417</v>
      </c>
      <c r="T13" s="52" t="n">
        <f aca="false">T5</f>
        <v>3.9913641417</v>
      </c>
      <c r="U13" s="54"/>
      <c r="V13" s="54"/>
      <c r="W13" s="56"/>
      <c r="X13" s="57"/>
      <c r="Y13" s="51"/>
    </row>
    <row r="14" customFormat="false" ht="15" hidden="false" customHeight="false" outlineLevel="0" collapsed="false">
      <c r="A14" s="58" t="n">
        <v>4</v>
      </c>
      <c r="B14" s="58" t="s">
        <v>95</v>
      </c>
      <c r="C14" s="58" t="s">
        <v>107</v>
      </c>
      <c r="D14" s="59" t="n">
        <v>74</v>
      </c>
      <c r="E14" s="59" t="n">
        <v>39</v>
      </c>
      <c r="F14" s="60" t="n">
        <v>23.2</v>
      </c>
      <c r="G14" s="60" t="n">
        <v>0.28</v>
      </c>
      <c r="H14" s="61" t="n">
        <v>9.9842376331</v>
      </c>
      <c r="I14" s="62" t="n">
        <f aca="false">H14</f>
        <v>9.9842376331</v>
      </c>
      <c r="J14" s="62" t="n">
        <f aca="false">10+LOG10(SIN(RADIANS(D14+E14/60+F14/3600)))</f>
        <v>9.98423763310452</v>
      </c>
      <c r="K14" s="63" t="n">
        <f aca="false">(I14-J14)*10000000000</f>
        <v>-0.0451549908575544</v>
      </c>
      <c r="L14" s="64" t="s">
        <v>100</v>
      </c>
      <c r="M14" s="64"/>
      <c r="N14" s="61" t="n">
        <v>4.0308135696</v>
      </c>
      <c r="O14" s="65" t="n">
        <f aca="false">O16+I14-I16</f>
        <v>4.0308135696</v>
      </c>
      <c r="P14" s="66" t="n">
        <f aca="false">IF(N14="","",(O14-N14)*10000000000)</f>
        <v>0</v>
      </c>
      <c r="Q14" s="59" t="n">
        <v>0</v>
      </c>
      <c r="R14" s="62" t="n">
        <f aca="false">I14-COS(RADIANS(D14+E14/60+F14/3600))/SIN(RADIANS(D14+E14/60+F14/3600))*RADIANS(Q14/3600)/LN(10)</f>
        <v>9.9842376331</v>
      </c>
      <c r="S14" s="65" t="n">
        <f aca="false">S16+R14-R16</f>
        <v>4.0308135696</v>
      </c>
      <c r="T14" s="65" t="n">
        <f aca="false">T16+J14-J16</f>
        <v>4.03081356953194</v>
      </c>
      <c r="U14" s="67" t="n">
        <f aca="false">Summary!$C$6*ASIN(10^O14/Summary!$C$6)</f>
        <v>10735.3040978104</v>
      </c>
      <c r="V14" s="68" t="n">
        <v>10735.3041</v>
      </c>
      <c r="W14" s="69" t="n">
        <f aca="false">IF(V14="","",(V14-U14)*Summary!$C$7*1000)</f>
        <v>0.00426761644101798</v>
      </c>
      <c r="X14" s="70" t="n">
        <f aca="false">U14*Summary!$C$7</f>
        <v>20923.5005073813</v>
      </c>
      <c r="Y14" s="71" t="n">
        <f aca="false">(D14+D15+D16-180)*3600+(E14+E15+E16)*60+F14+F15+F16-(G14+G15+G16)</f>
        <v>0</v>
      </c>
    </row>
    <row r="15" customFormat="false" ht="15" hidden="false" customHeight="false" outlineLevel="0" collapsed="false">
      <c r="A15" s="58" t="n">
        <v>4</v>
      </c>
      <c r="B15" s="58" t="s">
        <v>97</v>
      </c>
      <c r="C15" s="58" t="s">
        <v>108</v>
      </c>
      <c r="D15" s="59" t="n">
        <v>43</v>
      </c>
      <c r="E15" s="59" t="n">
        <v>37</v>
      </c>
      <c r="F15" s="60" t="n">
        <v>35.73</v>
      </c>
      <c r="G15" s="60" t="n">
        <v>0.21</v>
      </c>
      <c r="H15" s="61" t="n">
        <v>9.8388211224</v>
      </c>
      <c r="I15" s="62" t="n">
        <f aca="false">H15</f>
        <v>9.8388211224</v>
      </c>
      <c r="J15" s="62" t="n">
        <f aca="false">10+LOG10(SIN(RADIANS(D15+E15/60+F15/3600)))</f>
        <v>9.83882112278373</v>
      </c>
      <c r="K15" s="63" t="n">
        <f aca="false">(I15-J15)*10000000000</f>
        <v>-3.83730380804082</v>
      </c>
      <c r="L15" s="64" t="s">
        <v>100</v>
      </c>
      <c r="M15" s="64"/>
      <c r="N15" s="61" t="n">
        <v>3.8853970588</v>
      </c>
      <c r="O15" s="65" t="n">
        <f aca="false">O16+I15-I16</f>
        <v>3.8853970589</v>
      </c>
      <c r="P15" s="66" t="n">
        <f aca="false">IF(N15="","",(O15-N15)*10000000000)</f>
        <v>1.00000452363247</v>
      </c>
      <c r="Q15" s="59" t="n">
        <v>0</v>
      </c>
      <c r="R15" s="62" t="n">
        <f aca="false">I15-COS(RADIANS(D15+E15/60+F15/3600))/SIN(RADIANS(D15+E15/60+F15/3600))*RADIANS(Q15/3600)/LN(10)</f>
        <v>9.8388211224</v>
      </c>
      <c r="S15" s="65" t="n">
        <f aca="false">S16+R15-R16</f>
        <v>3.8853970589</v>
      </c>
      <c r="T15" s="65" t="n">
        <f aca="false">T16+J15-J16</f>
        <v>3.88539705921115</v>
      </c>
      <c r="U15" s="67" t="n">
        <f aca="false">Summary!$C$6*ASIN(10^O15/Summary!$C$6)</f>
        <v>7680.64087069343</v>
      </c>
      <c r="V15" s="68" t="n">
        <v>7680.6409</v>
      </c>
      <c r="W15" s="69" t="n">
        <f aca="false">IF(V15="","",(V15-U15)*Summary!$C$7*1000)</f>
        <v>0.0571195799861355</v>
      </c>
      <c r="X15" s="70" t="n">
        <f aca="false">U15*Summary!$C$7</f>
        <v>14969.8501030581</v>
      </c>
      <c r="Y15" s="64"/>
    </row>
    <row r="16" customFormat="false" ht="15" hidden="false" customHeight="false" outlineLevel="0" collapsed="false">
      <c r="A16" s="72" t="n">
        <v>4</v>
      </c>
      <c r="B16" s="72" t="s">
        <v>109</v>
      </c>
      <c r="C16" s="72" t="s">
        <v>93</v>
      </c>
      <c r="D16" s="73" t="n">
        <v>61</v>
      </c>
      <c r="E16" s="73" t="n">
        <v>43</v>
      </c>
      <c r="F16" s="74" t="n">
        <v>1.78</v>
      </c>
      <c r="G16" s="74" t="n">
        <v>0.22</v>
      </c>
      <c r="H16" s="75" t="n">
        <v>9.9447882052</v>
      </c>
      <c r="I16" s="76" t="n">
        <f aca="false">H16</f>
        <v>9.9447882052</v>
      </c>
      <c r="J16" s="76" t="n">
        <f aca="false">10+LOG10(SIN(RADIANS(D16+E16/60+F16/3600)))</f>
        <v>9.94478820527258</v>
      </c>
      <c r="K16" s="77" t="n">
        <f aca="false">(I16-J16)*10000000000</f>
        <v>-0.725783877442154</v>
      </c>
      <c r="L16" s="78" t="s">
        <v>103</v>
      </c>
      <c r="M16" s="78" t="n">
        <v>1</v>
      </c>
      <c r="N16" s="79"/>
      <c r="O16" s="79" t="n">
        <f aca="false">O5</f>
        <v>3.9913641417</v>
      </c>
      <c r="P16" s="80"/>
      <c r="Q16" s="73" t="n">
        <v>0</v>
      </c>
      <c r="R16" s="76" t="n">
        <f aca="false">I16-COS(RADIANS(D16+E16/60+F16/3600))/SIN(RADIANS(D16+E16/60+F16/3600))*RADIANS(Q16/3600)/LN(10)</f>
        <v>9.9447882052</v>
      </c>
      <c r="S16" s="79" t="n">
        <f aca="false">S5</f>
        <v>3.9913641417</v>
      </c>
      <c r="T16" s="79" t="n">
        <f aca="false">T5</f>
        <v>3.9913641417</v>
      </c>
      <c r="U16" s="81"/>
      <c r="V16" s="81"/>
      <c r="W16" s="82"/>
      <c r="X16" s="83"/>
      <c r="Y16" s="78"/>
    </row>
    <row r="17" customFormat="false" ht="15" hidden="false" customHeight="false" outlineLevel="0" collapsed="false">
      <c r="A17" s="5" t="n">
        <v>5</v>
      </c>
      <c r="B17" s="5" t="s">
        <v>97</v>
      </c>
      <c r="C17" s="5" t="s">
        <v>110</v>
      </c>
      <c r="D17" s="38" t="n">
        <v>36</v>
      </c>
      <c r="E17" s="38" t="n">
        <v>10</v>
      </c>
      <c r="F17" s="30" t="n">
        <v>59</v>
      </c>
      <c r="G17" s="30" t="n">
        <v>0.11</v>
      </c>
      <c r="H17" s="16" t="n">
        <v>9.7711220692</v>
      </c>
      <c r="I17" s="12" t="n">
        <f aca="false">H17</f>
        <v>9.7711220692</v>
      </c>
      <c r="J17" s="12" t="n">
        <f aca="false">10+LOG10(SIN(RADIANS(D17+E17/60+F17/3600)))</f>
        <v>9.77112206935538</v>
      </c>
      <c r="K17" s="25" t="n">
        <f aca="false">(I17-J17)*10000000000</f>
        <v>-1.5537793274234</v>
      </c>
      <c r="L17" s="39" t="s">
        <v>100</v>
      </c>
      <c r="N17" s="16" t="n">
        <v>4.0537635984</v>
      </c>
      <c r="O17" s="40" t="n">
        <f aca="false">O19+I17-I19</f>
        <v>4.0537635983</v>
      </c>
      <c r="P17" s="41" t="n">
        <f aca="false">IF(N17="","",(O17-N17)*10000000000)</f>
        <v>-0.999982319171977</v>
      </c>
      <c r="Q17" s="38" t="n">
        <v>0</v>
      </c>
      <c r="R17" s="12" t="n">
        <f aca="false">I17-COS(RADIANS(D17+E17/60+F17/3600))/SIN(RADIANS(D17+E17/60+F17/3600))*RADIANS(Q17/3600)/LN(10)</f>
        <v>9.7711220692</v>
      </c>
      <c r="S17" s="40" t="n">
        <f aca="false">S19+R17-R19</f>
        <v>4.0537635983</v>
      </c>
      <c r="T17" s="40" t="n">
        <f aca="false">T19+J17-J19</f>
        <v>4.05376359846516</v>
      </c>
      <c r="U17" s="42" t="n">
        <f aca="false">Summary!$C$6*ASIN(10^O17/Summary!$C$6)</f>
        <v>11317.8638960607</v>
      </c>
      <c r="V17" s="15" t="n">
        <v>11317.8639</v>
      </c>
      <c r="W17" s="43" t="n">
        <f aca="false">IF(V17="","",(V17-U17)*Summary!$C$7*1000)</f>
        <v>0.00767785020539137</v>
      </c>
      <c r="X17" s="44" t="n">
        <f aca="false">U17*Summary!$C$7</f>
        <v>22058.9308709008</v>
      </c>
      <c r="Y17" s="26" t="n">
        <f aca="false">(D17+D18+D19-180)*3600+(E17+E18+E19)*60+F17+F18+F19-(G17+G18+G19)</f>
        <v>0</v>
      </c>
    </row>
    <row r="18" customFormat="false" ht="15" hidden="false" customHeight="false" outlineLevel="0" collapsed="false">
      <c r="A18" s="5" t="n">
        <v>5</v>
      </c>
      <c r="B18" s="5" t="s">
        <v>106</v>
      </c>
      <c r="C18" s="5" t="s">
        <v>107</v>
      </c>
      <c r="D18" s="38" t="n">
        <v>34</v>
      </c>
      <c r="E18" s="38" t="n">
        <v>3</v>
      </c>
      <c r="F18" s="30" t="n">
        <v>15.47</v>
      </c>
      <c r="G18" s="30" t="n">
        <v>0.12</v>
      </c>
      <c r="H18" s="16" t="n">
        <v>9.7481711992</v>
      </c>
      <c r="I18" s="12" t="n">
        <f aca="false">H18</f>
        <v>9.7481711992</v>
      </c>
      <c r="J18" s="12" t="n">
        <f aca="false">10+LOG10(SIN(RADIANS(D18+E18/60+F18/3600)))</f>
        <v>9.7481711996288</v>
      </c>
      <c r="K18" s="25" t="n">
        <f aca="false">(I18-J18)*10000000000</f>
        <v>-4.28794777462827</v>
      </c>
      <c r="L18" s="39" t="s">
        <v>100</v>
      </c>
      <c r="N18" s="16" t="n">
        <v>4.0308127284</v>
      </c>
      <c r="O18" s="40" t="n">
        <f aca="false">O19+I18-I19</f>
        <v>4.0308127283</v>
      </c>
      <c r="P18" s="41" t="n">
        <f aca="false">IF(N18="","",(O18-N18)*10000000000)</f>
        <v>-0.999991200956174</v>
      </c>
      <c r="Q18" s="38" t="n">
        <v>0</v>
      </c>
      <c r="R18" s="12" t="n">
        <f aca="false">I18-COS(RADIANS(D18+E18/60+F18/3600))/SIN(RADIANS(D18+E18/60+F18/3600))*RADIANS(Q18/3600)/LN(10)</f>
        <v>9.7481711992</v>
      </c>
      <c r="S18" s="40" t="n">
        <f aca="false">S19+R18-R19</f>
        <v>4.0308127283</v>
      </c>
      <c r="T18" s="40" t="n">
        <f aca="false">T19+J18-J19</f>
        <v>4.03081272873857</v>
      </c>
      <c r="U18" s="42" t="n">
        <f aca="false">Summary!$C$6*ASIN(10^O18/Summary!$C$6)</f>
        <v>10735.2833017021</v>
      </c>
      <c r="V18" s="15" t="n">
        <v>10735.2833</v>
      </c>
      <c r="W18" s="43" t="n">
        <f aca="false">IF(V18="","",(V18-U18)*Summary!$C$7*1000)</f>
        <v>-0.00331744323188544</v>
      </c>
      <c r="X18" s="44" t="n">
        <f aca="false">U18*Summary!$C$7</f>
        <v>20923.4599750052</v>
      </c>
    </row>
    <row r="19" customFormat="false" ht="15" hidden="false" customHeight="false" outlineLevel="0" collapsed="false">
      <c r="A19" s="45" t="n">
        <v>5</v>
      </c>
      <c r="B19" s="45" t="s">
        <v>109</v>
      </c>
      <c r="C19" s="45" t="s">
        <v>104</v>
      </c>
      <c r="D19" s="46" t="n">
        <v>109</v>
      </c>
      <c r="E19" s="46" t="n">
        <v>45</v>
      </c>
      <c r="F19" s="47" t="n">
        <v>46.64</v>
      </c>
      <c r="G19" s="47" t="n">
        <v>0.88</v>
      </c>
      <c r="H19" s="48" t="n">
        <v>9.9736355806</v>
      </c>
      <c r="I19" s="49" t="n">
        <f aca="false">H19</f>
        <v>9.9736355806</v>
      </c>
      <c r="J19" s="49" t="n">
        <f aca="false">10+LOG10(SIN(RADIANS(D19+E19/60+F19/3600)))</f>
        <v>9.97363558072728</v>
      </c>
      <c r="K19" s="50" t="n">
        <f aca="false">(I19-J19)*10000000000</f>
        <v>-1.27277743899867</v>
      </c>
      <c r="L19" s="51" t="s">
        <v>103</v>
      </c>
      <c r="M19" s="51" t="n">
        <v>3</v>
      </c>
      <c r="N19" s="52"/>
      <c r="O19" s="52" t="n">
        <f aca="false">O11</f>
        <v>4.2562771097</v>
      </c>
      <c r="P19" s="53"/>
      <c r="Q19" s="46" t="n">
        <v>0</v>
      </c>
      <c r="R19" s="49" t="n">
        <f aca="false">I19-COS(RADIANS(D19+E19/60+F19/3600))/SIN(RADIANS(D19+E19/60+F19/3600))*RADIANS(Q19/3600)/LN(10)</f>
        <v>9.9736355806</v>
      </c>
      <c r="S19" s="52" t="n">
        <f aca="false">S11</f>
        <v>4.2562771097</v>
      </c>
      <c r="T19" s="52" t="n">
        <f aca="false">T11</f>
        <v>4.25627710983705</v>
      </c>
      <c r="U19" s="54"/>
      <c r="V19" s="54"/>
      <c r="W19" s="56"/>
      <c r="X19" s="57"/>
      <c r="Y19" s="51"/>
    </row>
    <row r="20" customFormat="false" ht="15" hidden="false" customHeight="false" outlineLevel="0" collapsed="false">
      <c r="A20" s="58" t="n">
        <v>6</v>
      </c>
      <c r="B20" s="58" t="s">
        <v>97</v>
      </c>
      <c r="C20" s="58" t="s">
        <v>111</v>
      </c>
      <c r="D20" s="59" t="n">
        <v>29</v>
      </c>
      <c r="E20" s="59" t="n">
        <v>50</v>
      </c>
      <c r="F20" s="60" t="n">
        <v>27.95</v>
      </c>
      <c r="G20" s="60" t="n">
        <v>0.41</v>
      </c>
      <c r="H20" s="61" t="n">
        <v>9.696877112</v>
      </c>
      <c r="I20" s="62" t="n">
        <f aca="false">H20</f>
        <v>9.696877112</v>
      </c>
      <c r="J20" s="62" t="n">
        <f aca="false">10+LOG10(SIN(RADIANS(D20+E20/60+F20/3600)))</f>
        <v>9.69687711230741</v>
      </c>
      <c r="K20" s="63" t="n">
        <f aca="false">(I20-J20)*10000000000</f>
        <v>-3.07412761912929</v>
      </c>
      <c r="L20" s="64" t="s">
        <v>100</v>
      </c>
      <c r="M20" s="64"/>
      <c r="N20" s="61" t="n">
        <v>4.020222238</v>
      </c>
      <c r="O20" s="65" t="n">
        <f aca="false">O22+I20-I22</f>
        <v>4.0202222379</v>
      </c>
      <c r="P20" s="66" t="n">
        <f aca="false">IF(N20="","",(O20-N20)*10000000000)</f>
        <v>-0.999991200956174</v>
      </c>
      <c r="Q20" s="59" t="n">
        <v>0</v>
      </c>
      <c r="R20" s="62" t="n">
        <f aca="false">I20-COS(RADIANS(D20+E20/60+F20/3600))/SIN(RADIANS(D20+E20/60+F20/3600))*RADIANS(Q20/3600)/LN(10)</f>
        <v>9.696877112</v>
      </c>
      <c r="S20" s="65" t="n">
        <f aca="false">S22+R20-R22</f>
        <v>4.0202222379</v>
      </c>
      <c r="T20" s="65" t="n">
        <f aca="false">T22+J20-J22</f>
        <v>4.02022223815583</v>
      </c>
      <c r="U20" s="67" t="n">
        <f aca="false">Summary!$C$6*ASIN(10^O20/Summary!$C$6)</f>
        <v>10476.6631918341</v>
      </c>
      <c r="V20" s="68" t="n">
        <v>10476.6632</v>
      </c>
      <c r="W20" s="69" t="n">
        <f aca="false">IF(V20="","",(V20-U20)*Summary!$C$7*1000)</f>
        <v>0.0159157123510187</v>
      </c>
      <c r="X20" s="70" t="n">
        <f aca="false">U20*Summary!$C$7</f>
        <v>20419.3999175778</v>
      </c>
      <c r="Y20" s="71" t="n">
        <f aca="false">(D20+D21+D22-180)*3600+(E20+E21+E22)*60+F20+F21+F22-(G20+G21+G22)</f>
        <v>0</v>
      </c>
    </row>
    <row r="21" customFormat="false" ht="15" hidden="false" customHeight="false" outlineLevel="0" collapsed="false">
      <c r="A21" s="58" t="n">
        <v>6</v>
      </c>
      <c r="B21" s="58" t="s">
        <v>106</v>
      </c>
      <c r="C21" s="58" t="s">
        <v>112</v>
      </c>
      <c r="D21" s="59" t="n">
        <v>91</v>
      </c>
      <c r="E21" s="59" t="n">
        <v>11</v>
      </c>
      <c r="F21" s="60" t="n">
        <v>19.4</v>
      </c>
      <c r="G21" s="60" t="n">
        <v>0.93</v>
      </c>
      <c r="H21" s="61" t="n">
        <v>9.9999065238</v>
      </c>
      <c r="I21" s="62" t="n">
        <f aca="false">H21</f>
        <v>9.9999065238</v>
      </c>
      <c r="J21" s="62" t="n">
        <f aca="false">10+LOG10(SIN(RADIANS(D21+E21/60+F21/3600)))</f>
        <v>9.9999065238164</v>
      </c>
      <c r="K21" s="63" t="n">
        <f aca="false">(I21-J21)*10000000000</f>
        <v>-0.164011026981825</v>
      </c>
      <c r="L21" s="64" t="s">
        <v>100</v>
      </c>
      <c r="M21" s="64"/>
      <c r="N21" s="61" t="n">
        <v>4.3232516498</v>
      </c>
      <c r="O21" s="65" t="n">
        <f aca="false">O22+I21-I22</f>
        <v>4.3232516497</v>
      </c>
      <c r="P21" s="66" t="n">
        <f aca="false">IF(N21="","",(O21-N21)*10000000000)</f>
        <v>-0.999991200956174</v>
      </c>
      <c r="Q21" s="59" t="n">
        <v>0</v>
      </c>
      <c r="R21" s="62" t="n">
        <f aca="false">I21-COS(RADIANS(D21+E21/60+F21/3600))/SIN(RADIANS(D21+E21/60+F21/3600))*RADIANS(Q21/3600)/LN(10)</f>
        <v>9.9999065238</v>
      </c>
      <c r="S21" s="65" t="n">
        <f aca="false">S22+R21-R22</f>
        <v>4.3232516497</v>
      </c>
      <c r="T21" s="65" t="n">
        <f aca="false">T22+J21-J22</f>
        <v>4.32325164966482</v>
      </c>
      <c r="U21" s="67" t="n">
        <f aca="false">Summary!$C$6*ASIN(10^O21/Summary!$C$6)</f>
        <v>21050.1238164592</v>
      </c>
      <c r="V21" s="68" t="n">
        <v>21050.1238</v>
      </c>
      <c r="W21" s="69" t="n">
        <f aca="false">IF(V21="","",(V21-U21)*Summary!$C$7*1000)</f>
        <v>-0.0320795373610996</v>
      </c>
      <c r="X21" s="70" t="n">
        <f aca="false">U21*Summary!$C$7</f>
        <v>41027.4615736275</v>
      </c>
      <c r="Y21" s="64"/>
    </row>
    <row r="22" customFormat="false" ht="15" hidden="false" customHeight="false" outlineLevel="0" collapsed="false">
      <c r="A22" s="72" t="n">
        <v>6</v>
      </c>
      <c r="B22" s="72" t="s">
        <v>113</v>
      </c>
      <c r="C22" s="72" t="s">
        <v>104</v>
      </c>
      <c r="D22" s="73" t="n">
        <v>58</v>
      </c>
      <c r="E22" s="73" t="n">
        <v>58</v>
      </c>
      <c r="F22" s="74" t="n">
        <v>14.45</v>
      </c>
      <c r="G22" s="74" t="n">
        <v>0.46</v>
      </c>
      <c r="H22" s="75" t="n">
        <v>9.9329319838</v>
      </c>
      <c r="I22" s="76" t="n">
        <f aca="false">H22</f>
        <v>9.9329319838</v>
      </c>
      <c r="J22" s="76" t="n">
        <f aca="false">10+LOG10(SIN(RADIANS(D22+E22/60+F22/3600)))</f>
        <v>9.93293198398863</v>
      </c>
      <c r="K22" s="77" t="n">
        <f aca="false">(I22-J22)*10000000000</f>
        <v>-1.88633109132752</v>
      </c>
      <c r="L22" s="78" t="s">
        <v>103</v>
      </c>
      <c r="M22" s="78" t="n">
        <v>3</v>
      </c>
      <c r="N22" s="79"/>
      <c r="O22" s="79" t="n">
        <f aca="false">O11</f>
        <v>4.2562771097</v>
      </c>
      <c r="P22" s="80"/>
      <c r="Q22" s="73" t="n">
        <v>0</v>
      </c>
      <c r="R22" s="76" t="n">
        <f aca="false">I22-COS(RADIANS(D22+E22/60+F22/3600))/SIN(RADIANS(D22+E22/60+F22/3600))*RADIANS(Q22/3600)/LN(10)</f>
        <v>9.9329319838</v>
      </c>
      <c r="S22" s="79" t="n">
        <f aca="false">S11</f>
        <v>4.2562771097</v>
      </c>
      <c r="T22" s="79" t="n">
        <f aca="false">T11</f>
        <v>4.25627710983705</v>
      </c>
      <c r="U22" s="81"/>
      <c r="V22" s="81"/>
      <c r="W22" s="82"/>
      <c r="X22" s="83"/>
      <c r="Y22" s="78"/>
    </row>
    <row r="23" customFormat="false" ht="15" hidden="false" customHeight="false" outlineLevel="0" collapsed="false">
      <c r="A23" s="5" t="n">
        <v>7</v>
      </c>
      <c r="B23" s="5" t="s">
        <v>97</v>
      </c>
      <c r="C23" s="5" t="s">
        <v>114</v>
      </c>
      <c r="D23" s="38" t="n">
        <v>39</v>
      </c>
      <c r="E23" s="38" t="n">
        <v>42</v>
      </c>
      <c r="F23" s="30" t="n">
        <v>10.51</v>
      </c>
      <c r="G23" s="30" t="n">
        <v>0.51</v>
      </c>
      <c r="H23" s="16" t="n">
        <v>9.8053696804</v>
      </c>
      <c r="I23" s="12" t="n">
        <f aca="false">H23</f>
        <v>9.8053696804</v>
      </c>
      <c r="J23" s="12" t="n">
        <f aca="false">10+LOG10(SIN(RADIANS(D23+E23/60+F23/3600)))</f>
        <v>9.8053696804699</v>
      </c>
      <c r="K23" s="25" t="n">
        <f aca="false">(I23-J23)*10000000000</f>
        <v>-0.699014179872393</v>
      </c>
      <c r="L23" s="39" t="s">
        <v>100</v>
      </c>
      <c r="N23" s="16" t="n">
        <v>4.0702054812</v>
      </c>
      <c r="O23" s="40" t="n">
        <f aca="false">O24+I23-I24</f>
        <v>4.0702054811</v>
      </c>
      <c r="P23" s="41" t="n">
        <f aca="false">IF(N23="","",(O23-N23)*10000000000)</f>
        <v>-1.00000008274037</v>
      </c>
      <c r="Q23" s="38" t="n">
        <v>0</v>
      </c>
      <c r="R23" s="12" t="n">
        <f aca="false">I23-COS(RADIANS(D23+E23/60+F23/3600))/SIN(RADIANS(D23+E23/60+F23/3600))*RADIANS(Q23/3600)/LN(10)</f>
        <v>9.8053696804</v>
      </c>
      <c r="S23" s="40" t="n">
        <f aca="false">S24+R23-R24</f>
        <v>4.0702054811</v>
      </c>
      <c r="T23" s="40" t="n">
        <f aca="false">T24+J23-J24</f>
        <v>4.07020548119217</v>
      </c>
      <c r="U23" s="42" t="n">
        <f aca="false">Summary!$C$6*ASIN(10^O23/Summary!$C$6)</f>
        <v>11754.5611092356</v>
      </c>
      <c r="V23" s="15" t="n">
        <v>11754.5611</v>
      </c>
      <c r="W23" s="43" t="n">
        <f aca="false">IF(V23="","",(V23-U23)*Summary!$C$7*1000)</f>
        <v>-0.018000597522849</v>
      </c>
      <c r="X23" s="44" t="n">
        <f aca="false">U23*Summary!$C$7</f>
        <v>22910.0697187796</v>
      </c>
      <c r="Y23" s="26" t="n">
        <f aca="false">(D23+D24+D25-180)*3600+(E23+E24+E25)*60+F23+F24+F25-(G23+G24+G25)</f>
        <v>0</v>
      </c>
    </row>
    <row r="24" customFormat="false" ht="15" hidden="false" customHeight="false" outlineLevel="0" collapsed="false">
      <c r="A24" s="5" t="n">
        <v>7</v>
      </c>
      <c r="B24" s="5" t="s">
        <v>115</v>
      </c>
      <c r="C24" s="5" t="s">
        <v>104</v>
      </c>
      <c r="D24" s="38" t="n">
        <v>78</v>
      </c>
      <c r="E24" s="38" t="n">
        <v>39</v>
      </c>
      <c r="F24" s="30" t="n">
        <v>44.58</v>
      </c>
      <c r="G24" s="30" t="n">
        <v>0.73</v>
      </c>
      <c r="H24" s="16" t="n">
        <v>9.991441309</v>
      </c>
      <c r="I24" s="12" t="n">
        <f aca="false">H24</f>
        <v>9.991441309</v>
      </c>
      <c r="J24" s="12" t="n">
        <f aca="false">10+LOG10(SIN(RADIANS(D24+E24/60+F24/3600)))</f>
        <v>9.99144130911479</v>
      </c>
      <c r="K24" s="25" t="n">
        <f aca="false">(I24-J24)*10000000000</f>
        <v>-1.14789955318884</v>
      </c>
      <c r="L24" s="39" t="s">
        <v>103</v>
      </c>
      <c r="M24" s="0" t="n">
        <v>3</v>
      </c>
      <c r="N24" s="40"/>
      <c r="O24" s="40" t="n">
        <f aca="false">O11</f>
        <v>4.2562771097</v>
      </c>
      <c r="P24" s="41"/>
      <c r="Q24" s="38" t="n">
        <v>0</v>
      </c>
      <c r="R24" s="12" t="n">
        <f aca="false">I24-COS(RADIANS(D24+E24/60+F24/3600))/SIN(RADIANS(D24+E24/60+F24/3600))*RADIANS(Q24/3600)/LN(10)</f>
        <v>9.991441309</v>
      </c>
      <c r="S24" s="40" t="n">
        <f aca="false">S11</f>
        <v>4.2562771097</v>
      </c>
      <c r="T24" s="40" t="n">
        <f aca="false">T11</f>
        <v>4.25627710983705</v>
      </c>
      <c r="U24" s="42"/>
      <c r="V24" s="42"/>
      <c r="W24" s="43"/>
      <c r="X24" s="44"/>
    </row>
    <row r="25" customFormat="false" ht="15" hidden="false" customHeight="false" outlineLevel="0" collapsed="false">
      <c r="A25" s="45" t="n">
        <v>7</v>
      </c>
      <c r="B25" s="45" t="s">
        <v>106</v>
      </c>
      <c r="C25" s="45" t="s">
        <v>116</v>
      </c>
      <c r="D25" s="46" t="n">
        <v>61</v>
      </c>
      <c r="E25" s="46" t="n">
        <v>38</v>
      </c>
      <c r="F25" s="47" t="n">
        <v>6.71</v>
      </c>
      <c r="G25" s="47" t="n">
        <v>0.56</v>
      </c>
      <c r="H25" s="48" t="n">
        <v>9.9444533493</v>
      </c>
      <c r="I25" s="49" t="n">
        <f aca="false">H25</f>
        <v>9.9444533493</v>
      </c>
      <c r="J25" s="49" t="n">
        <f aca="false">10+LOG10(SIN(RADIANS(D25+E25/60+F25/3600)))</f>
        <v>9.94445334954563</v>
      </c>
      <c r="K25" s="50" t="n">
        <f aca="false">(I25-J25)*10000000000</f>
        <v>-2.45629294681748</v>
      </c>
      <c r="L25" s="51" t="s">
        <v>100</v>
      </c>
      <c r="M25" s="51"/>
      <c r="N25" s="48" t="n">
        <v>4.2092891501</v>
      </c>
      <c r="O25" s="52" t="n">
        <f aca="false">O24+I25-I24</f>
        <v>4.20928915</v>
      </c>
      <c r="P25" s="53" t="n">
        <f aca="false">IF(N25="","",(O25-N25)*10000000000)</f>
        <v>-1.00000008274037</v>
      </c>
      <c r="Q25" s="46" t="n">
        <v>0</v>
      </c>
      <c r="R25" s="49" t="n">
        <f aca="false">I25-COS(RADIANS(D25+E25/60+F25/3600))/SIN(RADIANS(D25+E25/60+F25/3600))*RADIANS(Q25/3600)/LN(10)</f>
        <v>9.9444533493</v>
      </c>
      <c r="S25" s="52" t="n">
        <f aca="false">S24+R25-R24</f>
        <v>4.20928915</v>
      </c>
      <c r="T25" s="52" t="n">
        <f aca="false">T24+J25-J24</f>
        <v>4.20928915026789</v>
      </c>
      <c r="U25" s="54" t="n">
        <f aca="false">Summary!$C$6*ASIN(10^O25/Summary!$C$6)</f>
        <v>16191.6433046646</v>
      </c>
      <c r="V25" s="55" t="n">
        <v>16191.6433</v>
      </c>
      <c r="W25" s="56" t="n">
        <f aca="false">IF(V25="","",(V25-U25)*Summary!$C$7*1000)</f>
        <v>-0.00909154709845787</v>
      </c>
      <c r="X25" s="57" t="n">
        <f aca="false">U25*Summary!$C$7</f>
        <v>31558.1052771096</v>
      </c>
      <c r="Y25" s="51"/>
    </row>
    <row r="26" customFormat="false" ht="15" hidden="false" customHeight="false" outlineLevel="0" collapsed="false">
      <c r="A26" s="58" t="n">
        <v>8</v>
      </c>
      <c r="B26" s="58" t="s">
        <v>115</v>
      </c>
      <c r="C26" s="58" t="s">
        <v>117</v>
      </c>
      <c r="D26" s="59" t="n">
        <v>62</v>
      </c>
      <c r="E26" s="59" t="n">
        <v>55</v>
      </c>
      <c r="F26" s="60" t="n">
        <v>40.04</v>
      </c>
      <c r="G26" s="60" t="n">
        <v>0.16</v>
      </c>
      <c r="H26" s="61" t="n">
        <v>9.9496015601</v>
      </c>
      <c r="I26" s="62" t="n">
        <f aca="false">H26</f>
        <v>9.9496015601</v>
      </c>
      <c r="J26" s="62" t="n">
        <f aca="false">10+LOG10(SIN(RADIANS(D26+E26/60+F26/3600)))</f>
        <v>9.94960156028746</v>
      </c>
      <c r="K26" s="63" t="n">
        <f aca="false">(I26-J26)*10000000000</f>
        <v>-1.87460713618748</v>
      </c>
      <c r="L26" s="64" t="s">
        <v>103</v>
      </c>
      <c r="M26" s="64" t="n">
        <v>6</v>
      </c>
      <c r="N26" s="65"/>
      <c r="O26" s="65" t="n">
        <f aca="false">O20</f>
        <v>4.0202222379</v>
      </c>
      <c r="P26" s="66"/>
      <c r="Q26" s="59" t="n">
        <v>0</v>
      </c>
      <c r="R26" s="62" t="n">
        <f aca="false">I26-COS(RADIANS(D26+E26/60+F26/3600))/SIN(RADIANS(D26+E26/60+F26/3600))*RADIANS(Q26/3600)/LN(10)</f>
        <v>9.9496015601</v>
      </c>
      <c r="S26" s="65" t="n">
        <f aca="false">S20</f>
        <v>4.0202222379</v>
      </c>
      <c r="T26" s="65" t="n">
        <f aca="false">T20</f>
        <v>4.02022223815583</v>
      </c>
      <c r="U26" s="67"/>
      <c r="V26" s="67"/>
      <c r="W26" s="69"/>
      <c r="X26" s="70"/>
      <c r="Y26" s="71" t="n">
        <f aca="false">(D26+D27+D28-180)*3600+(E26+E27+E28)*60+F26+F27+F28-(G26+G27+G28)</f>
        <v>0</v>
      </c>
    </row>
    <row r="27" customFormat="false" ht="15" hidden="false" customHeight="false" outlineLevel="0" collapsed="false">
      <c r="A27" s="58" t="n">
        <v>8</v>
      </c>
      <c r="B27" s="58" t="s">
        <v>113</v>
      </c>
      <c r="C27" s="58" t="s">
        <v>114</v>
      </c>
      <c r="D27" s="59" t="n">
        <v>87</v>
      </c>
      <c r="E27" s="59" t="n">
        <v>31</v>
      </c>
      <c r="F27" s="60" t="n">
        <v>2.11</v>
      </c>
      <c r="G27" s="60" t="n">
        <v>0.27</v>
      </c>
      <c r="H27" s="61" t="n">
        <v>9.9995921409</v>
      </c>
      <c r="I27" s="62" t="n">
        <f aca="false">H27</f>
        <v>9.9995921409</v>
      </c>
      <c r="J27" s="62" t="n">
        <f aca="false">10+LOG10(SIN(RADIANS(D27+E27/60+F27/3600)))</f>
        <v>9.99959214103071</v>
      </c>
      <c r="K27" s="63" t="n">
        <f aca="false">(I27-J27)*10000000000</f>
        <v>-1.30711441670428</v>
      </c>
      <c r="L27" s="64" t="s">
        <v>100</v>
      </c>
      <c r="M27" s="64"/>
      <c r="N27" s="61" t="n">
        <v>4.0702128188</v>
      </c>
      <c r="O27" s="65" t="n">
        <f aca="false">O26+I27-I26</f>
        <v>4.0702128187</v>
      </c>
      <c r="P27" s="66" t="n">
        <f aca="false">IF(N27="","",(O27-N27)*10000000000)</f>
        <v>-0.999982319171977</v>
      </c>
      <c r="Q27" s="59" t="n">
        <v>0</v>
      </c>
      <c r="R27" s="62" t="n">
        <f aca="false">I27-COS(RADIANS(D27+E27/60+F27/3600))/SIN(RADIANS(D27+E27/60+F27/3600))*RADIANS(Q27/3600)/LN(10)</f>
        <v>9.9995921409</v>
      </c>
      <c r="S27" s="65" t="n">
        <f aca="false">S26+R27-R26</f>
        <v>4.0702128187</v>
      </c>
      <c r="T27" s="65" t="n">
        <f aca="false">T26+J27-J26</f>
        <v>4.07021281889909</v>
      </c>
      <c r="U27" s="67" t="n">
        <f aca="false">Summary!$C$6*ASIN(10^O27/Summary!$C$6)</f>
        <v>11754.7597103508</v>
      </c>
      <c r="V27" s="68" t="n">
        <v>11754.7597</v>
      </c>
      <c r="W27" s="69" t="n">
        <f aca="false">IF(V27="","",(V27-U27)*Summary!$C$7*1000)</f>
        <v>-0.0201741500701243</v>
      </c>
      <c r="X27" s="70" t="n">
        <f aca="false">U27*Summary!$C$7</f>
        <v>22910.4567996202</v>
      </c>
      <c r="Y27" s="64"/>
    </row>
    <row r="28" customFormat="false" ht="15" hidden="false" customHeight="false" outlineLevel="0" collapsed="false">
      <c r="A28" s="72" t="n">
        <v>8</v>
      </c>
      <c r="B28" s="72" t="s">
        <v>106</v>
      </c>
      <c r="C28" s="72" t="s">
        <v>118</v>
      </c>
      <c r="D28" s="73" t="n">
        <v>29</v>
      </c>
      <c r="E28" s="73" t="n">
        <v>33</v>
      </c>
      <c r="F28" s="74" t="n">
        <v>18.44</v>
      </c>
      <c r="G28" s="74" t="n">
        <v>0.16</v>
      </c>
      <c r="H28" s="75" t="n">
        <v>9.6930764883</v>
      </c>
      <c r="I28" s="76" t="n">
        <f aca="false">H28</f>
        <v>9.6930764883</v>
      </c>
      <c r="J28" s="76" t="n">
        <f aca="false">10+LOG10(SIN(RADIANS(D28+E28/60+F28/3600)))</f>
        <v>9.69307648867531</v>
      </c>
      <c r="K28" s="77" t="n">
        <f aca="false">(I28-J28)*10000000000</f>
        <v>-3.75308673028485</v>
      </c>
      <c r="L28" s="78" t="s">
        <v>100</v>
      </c>
      <c r="M28" s="78"/>
      <c r="N28" s="75" t="n">
        <v>3.7636971661</v>
      </c>
      <c r="O28" s="79" t="n">
        <f aca="false">O26+I28-I26</f>
        <v>3.7636971661</v>
      </c>
      <c r="P28" s="80" t="n">
        <f aca="false">IF(N28="","",(O28-N28)*10000000000)</f>
        <v>0</v>
      </c>
      <c r="Q28" s="73" t="n">
        <v>0</v>
      </c>
      <c r="R28" s="76" t="n">
        <f aca="false">I28-COS(RADIANS(D28+E28/60+F28/3600))/SIN(RADIANS(D28+E28/60+F28/3600))*RADIANS(Q28/3600)/LN(10)</f>
        <v>9.6930764883</v>
      </c>
      <c r="S28" s="79" t="n">
        <f aca="false">S26+R28-R26</f>
        <v>3.7636971661</v>
      </c>
      <c r="T28" s="79" t="n">
        <f aca="false">T26+J28-J26</f>
        <v>3.76369716654368</v>
      </c>
      <c r="U28" s="81" t="n">
        <f aca="false">Summary!$C$6*ASIN(10^O28/Summary!$C$6)</f>
        <v>5803.5989641363</v>
      </c>
      <c r="V28" s="84" t="n">
        <v>5803.599</v>
      </c>
      <c r="W28" s="82" t="n">
        <f aca="false">IF(V28="","",(V28-U28)*Summary!$C$7*1000)</f>
        <v>0.069899659768254</v>
      </c>
      <c r="X28" s="83" t="n">
        <f aca="false">U28*Summary!$C$7</f>
        <v>11311.4267434223</v>
      </c>
      <c r="Y28" s="78"/>
    </row>
    <row r="29" customFormat="false" ht="15" hidden="false" customHeight="false" outlineLevel="0" collapsed="false">
      <c r="A29" s="5" t="n">
        <v>9</v>
      </c>
      <c r="B29" s="5" t="s">
        <v>97</v>
      </c>
      <c r="C29" s="5" t="s">
        <v>119</v>
      </c>
      <c r="D29" s="38" t="n">
        <v>75</v>
      </c>
      <c r="E29" s="38" t="n">
        <v>53</v>
      </c>
      <c r="F29" s="30" t="n">
        <v>9.51</v>
      </c>
      <c r="G29" s="30" t="n">
        <v>0.64</v>
      </c>
      <c r="H29" s="16" t="n">
        <v>9.9866877119</v>
      </c>
      <c r="I29" s="12" t="n">
        <f aca="false">H29</f>
        <v>9.9866877119</v>
      </c>
      <c r="J29" s="12" t="n">
        <f aca="false">10+LOG10(SIN(RADIANS(D29+E29/60+F29/3600)))</f>
        <v>9.98668771189591</v>
      </c>
      <c r="K29" s="25" t="n">
        <f aca="false">(I29-J29)*10000000000</f>
        <v>0.0408917344429938</v>
      </c>
      <c r="L29" s="39" t="s">
        <v>100</v>
      </c>
      <c r="N29" s="16" t="n">
        <v>4.2331670639</v>
      </c>
      <c r="O29" s="40" t="n">
        <f aca="false">O30+I29-I30</f>
        <v>4.2331670639</v>
      </c>
      <c r="P29" s="41" t="n">
        <f aca="false">IF(N29="","",(O29-N29)*10000000000)</f>
        <v>0</v>
      </c>
      <c r="Q29" s="38" t="n">
        <v>0</v>
      </c>
      <c r="R29" s="12" t="n">
        <f aca="false">I29-COS(RADIANS(D29+E29/60+F29/3600))/SIN(RADIANS(D29+E29/60+F29/3600))*RADIANS(Q29/3600)/LN(10)</f>
        <v>9.9866877119</v>
      </c>
      <c r="S29" s="40" t="n">
        <f aca="false">S30+R29-R30</f>
        <v>4.2331670639</v>
      </c>
      <c r="T29" s="40" t="n">
        <f aca="false">T30+J29-J30</f>
        <v>4.23316706366687</v>
      </c>
      <c r="U29" s="42" t="n">
        <f aca="false">Summary!$C$6*ASIN(10^O29/Summary!$C$6)</f>
        <v>17106.8106562518</v>
      </c>
      <c r="V29" s="15" t="n">
        <v>17106.8107</v>
      </c>
      <c r="W29" s="43" t="n">
        <f aca="false">IF(V29="","",(V29-U29)*Summary!$C$7*1000)</f>
        <v>0.0852667529263775</v>
      </c>
      <c r="X29" s="44" t="n">
        <f aca="false">U29*Summary!$C$7</f>
        <v>33341.7999326881</v>
      </c>
      <c r="Y29" s="26" t="n">
        <f aca="false">(D29+D30+D31-180)*3600+(E29+E30+E31)*60+F29+F30+F31-(G29+G30+G31)</f>
        <v>0</v>
      </c>
    </row>
    <row r="30" customFormat="false" ht="15" hidden="false" customHeight="false" outlineLevel="0" collapsed="false">
      <c r="A30" s="5" t="n">
        <v>9</v>
      </c>
      <c r="B30" s="5" t="s">
        <v>115</v>
      </c>
      <c r="C30" s="5" t="s">
        <v>107</v>
      </c>
      <c r="D30" s="38" t="n">
        <v>37</v>
      </c>
      <c r="E30" s="38" t="n">
        <v>29</v>
      </c>
      <c r="F30" s="30" t="n">
        <v>18.86</v>
      </c>
      <c r="G30" s="30" t="n">
        <v>0.45</v>
      </c>
      <c r="H30" s="16" t="n">
        <v>9.7843342176</v>
      </c>
      <c r="I30" s="12" t="n">
        <f aca="false">H30</f>
        <v>9.7843342176</v>
      </c>
      <c r="J30" s="12" t="n">
        <f aca="false">10+LOG10(SIN(RADIANS(D30+E30/60+F30/3600)))</f>
        <v>9.78433421776098</v>
      </c>
      <c r="K30" s="25" t="n">
        <f aca="false">(I30-J30)*10000000000</f>
        <v>-1.60982338570648</v>
      </c>
      <c r="L30" s="39" t="s">
        <v>103</v>
      </c>
      <c r="M30" s="0" t="n">
        <v>4</v>
      </c>
      <c r="N30" s="40"/>
      <c r="O30" s="40" t="n">
        <f aca="false">O14</f>
        <v>4.0308135696</v>
      </c>
      <c r="P30" s="41"/>
      <c r="Q30" s="38" t="n">
        <v>0</v>
      </c>
      <c r="R30" s="12" t="n">
        <f aca="false">I30-COS(RADIANS(D30+E30/60+F30/3600))/SIN(RADIANS(D30+E30/60+F30/3600))*RADIANS(Q30/3600)/LN(10)</f>
        <v>9.7843342176</v>
      </c>
      <c r="S30" s="40" t="n">
        <f aca="false">S14</f>
        <v>4.0308135696</v>
      </c>
      <c r="T30" s="40" t="n">
        <f aca="false">T14</f>
        <v>4.03081356953194</v>
      </c>
      <c r="U30" s="42"/>
      <c r="V30" s="42"/>
      <c r="W30" s="43"/>
      <c r="X30" s="44"/>
    </row>
    <row r="31" customFormat="false" ht="15" hidden="false" customHeight="false" outlineLevel="0" collapsed="false">
      <c r="A31" s="45" t="n">
        <v>9</v>
      </c>
      <c r="B31" s="45" t="s">
        <v>109</v>
      </c>
      <c r="C31" s="45" t="s">
        <v>116</v>
      </c>
      <c r="D31" s="46" t="n">
        <v>66</v>
      </c>
      <c r="E31" s="46" t="n">
        <v>37</v>
      </c>
      <c r="F31" s="47" t="n">
        <v>33.27</v>
      </c>
      <c r="G31" s="47" t="n">
        <v>0.55</v>
      </c>
      <c r="H31" s="48" t="n">
        <v>9.9628115113</v>
      </c>
      <c r="I31" s="49" t="n">
        <f aca="false">H31</f>
        <v>9.9628115113</v>
      </c>
      <c r="J31" s="49" t="n">
        <f aca="false">10+LOG10(SIN(RADIANS(D31+E31/60+F31/3600)))</f>
        <v>9.96281151139004</v>
      </c>
      <c r="K31" s="50" t="n">
        <f aca="false">(I31-J31)*10000000000</f>
        <v>-0.900346464050017</v>
      </c>
      <c r="L31" s="51" t="s">
        <v>100</v>
      </c>
      <c r="M31" s="51"/>
      <c r="N31" s="48" t="n">
        <v>4.2092908633</v>
      </c>
      <c r="O31" s="52" t="n">
        <f aca="false">O30+I31-I30</f>
        <v>4.2092908633</v>
      </c>
      <c r="P31" s="53" t="n">
        <f aca="false">IF(N31="","",(O31-N31)*10000000000)</f>
        <v>0</v>
      </c>
      <c r="Q31" s="46" t="n">
        <v>0</v>
      </c>
      <c r="R31" s="49" t="n">
        <f aca="false">I31-COS(RADIANS(D31+E31/60+F31/3600))/SIN(RADIANS(D31+E31/60+F31/3600))*RADIANS(Q31/3600)/LN(10)</f>
        <v>9.9628115113</v>
      </c>
      <c r="S31" s="52" t="n">
        <f aca="false">S30+R31-R30</f>
        <v>4.2092908633</v>
      </c>
      <c r="T31" s="52" t="n">
        <f aca="false">T30+J31-J30</f>
        <v>4.20929086316099</v>
      </c>
      <c r="U31" s="54" t="n">
        <f aca="false">Summary!$C$6*ASIN(10^O31/Summary!$C$6)</f>
        <v>16191.7071816548</v>
      </c>
      <c r="V31" s="55" t="n">
        <v>16191.7072</v>
      </c>
      <c r="W31" s="56" t="n">
        <f aca="false">IF(V31="","",(V31-U31)*Summary!$C$7*1000)</f>
        <v>0.0357555605351937</v>
      </c>
      <c r="X31" s="57" t="n">
        <f aca="false">U31*Summary!$C$7</f>
        <v>31558.2297757007</v>
      </c>
      <c r="Y31" s="51"/>
    </row>
    <row r="32" customFormat="false" ht="15" hidden="false" customHeight="false" outlineLevel="0" collapsed="false">
      <c r="A32" s="58" t="n">
        <v>10</v>
      </c>
      <c r="B32" s="58" t="s">
        <v>109</v>
      </c>
      <c r="C32" s="58" t="s">
        <v>114</v>
      </c>
      <c r="D32" s="59" t="n">
        <v>43</v>
      </c>
      <c r="E32" s="59" t="n">
        <v>8</v>
      </c>
      <c r="F32" s="60" t="n">
        <v>13.37</v>
      </c>
      <c r="G32" s="60" t="n">
        <v>0.28</v>
      </c>
      <c r="H32" s="61" t="n">
        <v>9.8348946401</v>
      </c>
      <c r="I32" s="62" t="n">
        <f aca="false">H32</f>
        <v>9.8348946401</v>
      </c>
      <c r="J32" s="62" t="n">
        <f aca="false">10+LOG10(SIN(RADIANS(D32+E32/60+F32/3600)))</f>
        <v>9.83489464040414</v>
      </c>
      <c r="K32" s="63" t="n">
        <f aca="false">(I32-J32)*10000000000</f>
        <v>-3.04138936257914</v>
      </c>
      <c r="L32" s="64" t="s">
        <v>100</v>
      </c>
      <c r="M32" s="64"/>
      <c r="N32" s="61" t="n">
        <v>4.0702064911</v>
      </c>
      <c r="O32" s="65" t="n">
        <f aca="false">O34+I32-I34</f>
        <v>4.0702064912</v>
      </c>
      <c r="P32" s="66" t="n">
        <f aca="false">IF(N32="","",(O32-N32)*10000000000)</f>
        <v>1.00000008274037</v>
      </c>
      <c r="Q32" s="59" t="n">
        <v>0</v>
      </c>
      <c r="R32" s="62" t="n">
        <f aca="false">I32-COS(RADIANS(D32+E32/60+F32/3600))/SIN(RADIANS(D32+E32/60+F32/3600))*RADIANS(Q32/3600)/LN(10)</f>
        <v>9.8348946401</v>
      </c>
      <c r="S32" s="65" t="n">
        <f aca="false">S34+R32-R34</f>
        <v>4.0702064912</v>
      </c>
      <c r="T32" s="65" t="n">
        <f aca="false">T34+J32-J34</f>
        <v>4.07020649110059</v>
      </c>
      <c r="U32" s="67" t="n">
        <f aca="false">Summary!$C$6*ASIN(10^O32/Summary!$C$6)</f>
        <v>11754.588448628</v>
      </c>
      <c r="V32" s="68" t="n">
        <v>11754.5885</v>
      </c>
      <c r="W32" s="69" t="n">
        <f aca="false">IF(V32="","",(V32-U32)*Summary!$C$7*1000)</f>
        <v>0.100125997576037</v>
      </c>
      <c r="X32" s="70" t="n">
        <f aca="false">U32*Summary!$C$7</f>
        <v>22910.1230042556</v>
      </c>
      <c r="Y32" s="71" t="n">
        <f aca="false">(D32+D33+D34-180)*3600+(E32+E33+E34)*60+F32+F33+F34-(G32+G33+G34)</f>
        <v>0</v>
      </c>
    </row>
    <row r="33" customFormat="false" ht="15" hidden="false" customHeight="false" outlineLevel="0" collapsed="false">
      <c r="A33" s="58" t="n">
        <v>10</v>
      </c>
      <c r="B33" s="58" t="s">
        <v>115</v>
      </c>
      <c r="C33" s="58" t="s">
        <v>120</v>
      </c>
      <c r="D33" s="59" t="n">
        <v>41</v>
      </c>
      <c r="E33" s="59" t="n">
        <v>10</v>
      </c>
      <c r="F33" s="60" t="n">
        <v>25.44</v>
      </c>
      <c r="G33" s="60" t="n">
        <v>0.26</v>
      </c>
      <c r="H33" s="61" t="n">
        <v>9.818453181</v>
      </c>
      <c r="I33" s="62" t="n">
        <f aca="false">H33</f>
        <v>9.818453181</v>
      </c>
      <c r="J33" s="62" t="n">
        <f aca="false">10+LOG10(SIN(RADIANS(D33+E33/60+F33/3600)))</f>
        <v>9.81845318132303</v>
      </c>
      <c r="K33" s="63" t="n">
        <f aca="false">(I33-J33)*10000000000</f>
        <v>-3.23032267601775</v>
      </c>
      <c r="L33" s="64" t="s">
        <v>100</v>
      </c>
      <c r="M33" s="64"/>
      <c r="N33" s="61" t="n">
        <v>4.0537650321</v>
      </c>
      <c r="O33" s="65" t="n">
        <f aca="false">O34+I33-I34</f>
        <v>4.0537650321</v>
      </c>
      <c r="P33" s="66" t="n">
        <f aca="false">IF(N33="","",(O33-N33)*10000000000)</f>
        <v>0</v>
      </c>
      <c r="Q33" s="59" t="n">
        <v>0</v>
      </c>
      <c r="R33" s="62" t="n">
        <f aca="false">I33-COS(RADIANS(D33+E33/60+F33/3600))/SIN(RADIANS(D33+E33/60+F33/3600))*RADIANS(Q33/3600)/LN(10)</f>
        <v>9.818453181</v>
      </c>
      <c r="S33" s="65" t="n">
        <f aca="false">S34+R33-R34</f>
        <v>4.0537650321</v>
      </c>
      <c r="T33" s="65" t="n">
        <f aca="false">T34+J33-J34</f>
        <v>4.05376503201948</v>
      </c>
      <c r="U33" s="67" t="n">
        <f aca="false">Summary!$C$6*ASIN(10^O33/Summary!$C$6)</f>
        <v>11317.9012615941</v>
      </c>
      <c r="V33" s="68" t="n">
        <v>11317.9013</v>
      </c>
      <c r="W33" s="69" t="n">
        <f aca="false">IF(V33="","",(V33-U33)*Summary!$C$7*1000)</f>
        <v>0.074854572453663</v>
      </c>
      <c r="X33" s="70" t="n">
        <f aca="false">U33*Summary!$C$7</f>
        <v>22059.0036976926</v>
      </c>
      <c r="Y33" s="64"/>
    </row>
    <row r="34" customFormat="false" ht="15" hidden="false" customHeight="false" outlineLevel="0" collapsed="false">
      <c r="A34" s="72" t="n">
        <v>10</v>
      </c>
      <c r="B34" s="72" t="s">
        <v>106</v>
      </c>
      <c r="C34" s="72" t="s">
        <v>121</v>
      </c>
      <c r="D34" s="73" t="n">
        <v>95</v>
      </c>
      <c r="E34" s="73" t="n">
        <v>41</v>
      </c>
      <c r="F34" s="74" t="n">
        <v>22.48</v>
      </c>
      <c r="G34" s="74" t="n">
        <v>0.75</v>
      </c>
      <c r="H34" s="75" t="n">
        <v>9.9978552128</v>
      </c>
      <c r="I34" s="76" t="n">
        <f aca="false">H34</f>
        <v>9.9978552128</v>
      </c>
      <c r="J34" s="76" t="n">
        <f aca="false">10+LOG10(SIN(RADIANS(D34+E34/60+F34/3600)))</f>
        <v>9.99785521297042</v>
      </c>
      <c r="K34" s="77" t="n">
        <f aca="false">(I34-J34)*10000000000</f>
        <v>-1.70420122458381</v>
      </c>
      <c r="L34" s="78" t="s">
        <v>103</v>
      </c>
      <c r="M34" s="78" t="n">
        <v>9</v>
      </c>
      <c r="N34" s="79"/>
      <c r="O34" s="79" t="n">
        <f aca="false">O29</f>
        <v>4.2331670639</v>
      </c>
      <c r="P34" s="80"/>
      <c r="Q34" s="73" t="n">
        <v>0</v>
      </c>
      <c r="R34" s="76" t="n">
        <f aca="false">I34-COS(RADIANS(D34+E34/60+F34/3600))/SIN(RADIANS(D34+E34/60+F34/3600))*RADIANS(Q34/3600)/LN(10)</f>
        <v>9.9978552128</v>
      </c>
      <c r="S34" s="79" t="n">
        <f aca="false">S29</f>
        <v>4.2331670639</v>
      </c>
      <c r="T34" s="79" t="n">
        <f aca="false">T29</f>
        <v>4.23316706366687</v>
      </c>
      <c r="U34" s="81"/>
      <c r="V34" s="81"/>
      <c r="W34" s="82"/>
      <c r="X34" s="83"/>
      <c r="Y34" s="78"/>
    </row>
    <row r="35" customFormat="false" ht="15" hidden="false" customHeight="false" outlineLevel="0" collapsed="false">
      <c r="A35" s="5" t="n">
        <v>11</v>
      </c>
      <c r="B35" s="5" t="s">
        <v>106</v>
      </c>
      <c r="C35" s="5" t="s">
        <v>122</v>
      </c>
      <c r="D35" s="38" t="n">
        <v>42</v>
      </c>
      <c r="E35" s="38" t="n">
        <v>59</v>
      </c>
      <c r="F35" s="30" t="n">
        <v>49.63</v>
      </c>
      <c r="G35" s="30" t="n">
        <v>0.22</v>
      </c>
      <c r="H35" s="16" t="n">
        <v>9.8337599148</v>
      </c>
      <c r="I35" s="12" t="n">
        <f aca="false">H35</f>
        <v>9.8337599148</v>
      </c>
      <c r="J35" s="12" t="n">
        <f aca="false">10+LOG10(SIN(RADIANS(D35+E35/60+F35/3600)))</f>
        <v>9.83375991482249</v>
      </c>
      <c r="K35" s="25" t="n">
        <f aca="false">(I35-J35)*10000000000</f>
        <v>-0.224886775868072</v>
      </c>
      <c r="L35" s="39" t="s">
        <v>100</v>
      </c>
      <c r="N35" s="16" t="n">
        <v>4.1023222074</v>
      </c>
      <c r="O35" s="40" t="n">
        <f aca="false">O37+I35-I37</f>
        <v>4.1023222074</v>
      </c>
      <c r="P35" s="41" t="n">
        <f aca="false">IF(N35="","",(O35-N35)*10000000000)</f>
        <v>0</v>
      </c>
      <c r="Q35" s="38" t="n">
        <v>0</v>
      </c>
      <c r="R35" s="12" t="n">
        <f aca="false">I35-COS(RADIANS(D35+E35/60+F35/3600))/SIN(RADIANS(D35+E35/60+F35/3600))*RADIANS(Q35/3600)/LN(10)</f>
        <v>9.8337599148</v>
      </c>
      <c r="S35" s="40" t="n">
        <f aca="false">S37+R35-R37</f>
        <v>4.1023222074</v>
      </c>
      <c r="T35" s="40" t="n">
        <f aca="false">T37+J35-J37</f>
        <v>4.10232220738772</v>
      </c>
      <c r="U35" s="42" t="n">
        <f aca="false">Summary!$C$6*ASIN(10^O35/Summary!$C$6)</f>
        <v>12656.7818217609</v>
      </c>
      <c r="V35" s="15" t="n">
        <v>12656.7819</v>
      </c>
      <c r="W35" s="43" t="n">
        <f aca="false">IF(V35="","",(V35-U35)*Summary!$C$7*1000)</f>
        <v>0.152490953522988</v>
      </c>
      <c r="X35" s="44" t="n">
        <f aca="false">U35*Summary!$C$7</f>
        <v>24668.5309010894</v>
      </c>
      <c r="Y35" s="26" t="n">
        <f aca="false">(D35+D36+D37-180)*3600+(E35+E36+E37)*60+F35+F36+F37-(G35+G36+G37)</f>
        <v>0</v>
      </c>
    </row>
    <row r="36" customFormat="false" ht="15" hidden="false" customHeight="false" outlineLevel="0" collapsed="false">
      <c r="A36" s="5" t="n">
        <v>11</v>
      </c>
      <c r="B36" s="5" t="s">
        <v>113</v>
      </c>
      <c r="C36" s="5" t="s">
        <v>123</v>
      </c>
      <c r="D36" s="38" t="n">
        <v>102</v>
      </c>
      <c r="E36" s="38" t="n">
        <v>38</v>
      </c>
      <c r="F36" s="30" t="n">
        <v>9.63</v>
      </c>
      <c r="G36" s="30" t="n">
        <v>0.8</v>
      </c>
      <c r="H36" s="16" t="n">
        <v>9.9893516782</v>
      </c>
      <c r="I36" s="12" t="n">
        <f aca="false">H36</f>
        <v>9.9893516782</v>
      </c>
      <c r="J36" s="12" t="n">
        <f aca="false">10+LOG10(SIN(RADIANS(D36+E36/60+F36/3600)))</f>
        <v>9.98935167829786</v>
      </c>
      <c r="K36" s="25" t="n">
        <f aca="false">(I36-J36)*10000000000</f>
        <v>-0.978594982825598</v>
      </c>
      <c r="L36" s="39" t="s">
        <v>100</v>
      </c>
      <c r="N36" s="16" t="n">
        <v>4.2579139709</v>
      </c>
      <c r="O36" s="40" t="n">
        <f aca="false">O37+I36-I37</f>
        <v>4.2579139708</v>
      </c>
      <c r="P36" s="41" t="n">
        <f aca="false">IF(N36="","",(O36-N36)*10000000000)</f>
        <v>-0.999991200956174</v>
      </c>
      <c r="Q36" s="38" t="n">
        <v>0</v>
      </c>
      <c r="R36" s="12" t="n">
        <f aca="false">I36-COS(RADIANS(D36+E36/60+F36/3600))/SIN(RADIANS(D36+E36/60+F36/3600))*RADIANS(Q36/3600)/LN(10)</f>
        <v>9.9893516782</v>
      </c>
      <c r="S36" s="40" t="n">
        <f aca="false">S37+R36-R37</f>
        <v>4.2579139708</v>
      </c>
      <c r="T36" s="40" t="n">
        <f aca="false">T37+J36-J37</f>
        <v>4.25791397086309</v>
      </c>
      <c r="U36" s="42" t="n">
        <f aca="false">Summary!$C$6*ASIN(10^O36/Summary!$C$6)</f>
        <v>18109.9059524331</v>
      </c>
      <c r="V36" s="15" t="n">
        <v>18109.906</v>
      </c>
      <c r="W36" s="43" t="n">
        <f aca="false">IF(V36="","",(V36-U36)*Summary!$C$7*1000)</f>
        <v>0.0927096079972627</v>
      </c>
      <c r="X36" s="44" t="n">
        <f aca="false">U36*Summary!$C$7</f>
        <v>35296.8693696946</v>
      </c>
    </row>
    <row r="37" customFormat="false" ht="15" hidden="false" customHeight="false" outlineLevel="0" collapsed="false">
      <c r="A37" s="45" t="n">
        <v>11</v>
      </c>
      <c r="B37" s="45" t="s">
        <v>124</v>
      </c>
      <c r="C37" s="45" t="s">
        <v>111</v>
      </c>
      <c r="D37" s="46" t="n">
        <v>34</v>
      </c>
      <c r="E37" s="46" t="n">
        <v>22</v>
      </c>
      <c r="F37" s="47" t="n">
        <v>1.98</v>
      </c>
      <c r="G37" s="47" t="n">
        <v>0.22</v>
      </c>
      <c r="H37" s="48" t="n">
        <v>9.7516599453</v>
      </c>
      <c r="I37" s="49" t="n">
        <f aca="false">H37</f>
        <v>9.7516599453</v>
      </c>
      <c r="J37" s="49" t="n">
        <f aca="false">10+LOG10(SIN(RADIANS(D37+E37/60+F37/3600)))</f>
        <v>9.75165994559061</v>
      </c>
      <c r="K37" s="50" t="n">
        <f aca="false">(I37-J37)*10000000000</f>
        <v>-2.90604873498523</v>
      </c>
      <c r="L37" s="51" t="s">
        <v>103</v>
      </c>
      <c r="M37" s="51" t="n">
        <v>6</v>
      </c>
      <c r="N37" s="52"/>
      <c r="O37" s="52" t="n">
        <f aca="false">O20</f>
        <v>4.0202222379</v>
      </c>
      <c r="P37" s="53"/>
      <c r="Q37" s="46" t="n">
        <v>0</v>
      </c>
      <c r="R37" s="49" t="n">
        <f aca="false">I37-COS(RADIANS(D37+E37/60+F37/3600))/SIN(RADIANS(D37+E37/60+F37/3600))*RADIANS(Q37/3600)/LN(10)</f>
        <v>9.7516599453</v>
      </c>
      <c r="S37" s="52" t="n">
        <f aca="false">S20</f>
        <v>4.0202222379</v>
      </c>
      <c r="T37" s="52" t="n">
        <f aca="false">T20</f>
        <v>4.02022223815583</v>
      </c>
      <c r="U37" s="54"/>
      <c r="V37" s="54"/>
      <c r="W37" s="56"/>
      <c r="X37" s="57"/>
      <c r="Y37" s="51"/>
    </row>
    <row r="38" customFormat="false" ht="15" hidden="false" customHeight="false" outlineLevel="0" collapsed="false">
      <c r="A38" s="58" t="n">
        <v>12</v>
      </c>
      <c r="B38" s="58" t="s">
        <v>106</v>
      </c>
      <c r="C38" s="58" t="s">
        <v>125</v>
      </c>
      <c r="D38" s="59" t="n">
        <v>34</v>
      </c>
      <c r="E38" s="59" t="n">
        <v>32</v>
      </c>
      <c r="F38" s="60" t="n">
        <v>51.42</v>
      </c>
      <c r="G38" s="60" t="n">
        <v>0.34</v>
      </c>
      <c r="H38" s="61" t="n">
        <v>9.7536527131</v>
      </c>
      <c r="I38" s="62" t="n">
        <f aca="false">H38</f>
        <v>9.7536527131</v>
      </c>
      <c r="J38" s="62" t="n">
        <f aca="false">10+LOG10(SIN(RADIANS(D38+E38/60+F38/3600)))</f>
        <v>9.75365271339786</v>
      </c>
      <c r="K38" s="63" t="n">
        <f aca="false">(I38-J38)*10000000000</f>
        <v>-2.97864843901152</v>
      </c>
      <c r="L38" s="64" t="s">
        <v>100</v>
      </c>
      <c r="M38" s="64"/>
      <c r="N38" s="61" t="n">
        <v>4.0115991326</v>
      </c>
      <c r="O38" s="65" t="n">
        <f aca="false">O40+I38-I40</f>
        <v>4.0115991324</v>
      </c>
      <c r="P38" s="66" t="n">
        <f aca="false">IF(N38="","",(O38-N38)*10000000000)</f>
        <v>-1.99999128369655</v>
      </c>
      <c r="Q38" s="59" t="n">
        <v>0</v>
      </c>
      <c r="R38" s="62" t="n">
        <f aca="false">I38-COS(RADIANS(D38+E38/60+F38/3600))/SIN(RADIANS(D38+E38/60+F38/3600))*RADIANS(Q38/3600)/LN(10)</f>
        <v>9.7536527131</v>
      </c>
      <c r="S38" s="65" t="n">
        <f aca="false">S40+R38-R40</f>
        <v>4.0115991324</v>
      </c>
      <c r="T38" s="65" t="n">
        <f aca="false">T40+J38-J40</f>
        <v>4.01159913278278</v>
      </c>
      <c r="U38" s="67" t="n">
        <f aca="false">Summary!$C$6*ASIN(10^O38/Summary!$C$6)</f>
        <v>10270.6953602489</v>
      </c>
      <c r="V38" s="68" t="n">
        <v>10270.6954</v>
      </c>
      <c r="W38" s="69" t="n">
        <f aca="false">IF(V38="","",(V38-U38)*Summary!$C$7*1000)</f>
        <v>0.0774763330886339</v>
      </c>
      <c r="X38" s="70" t="n">
        <f aca="false">U38*Summary!$C$7</f>
        <v>20017.961077149</v>
      </c>
      <c r="Y38" s="71" t="n">
        <f aca="false">(D38+D39+D40-180)*3600+(E38+E39+E40)*60+F38+F39+F40-(G38+G39+G40)</f>
        <v>0</v>
      </c>
    </row>
    <row r="39" customFormat="false" ht="15" hidden="false" customHeight="false" outlineLevel="0" collapsed="false">
      <c r="A39" s="58" t="n">
        <v>12</v>
      </c>
      <c r="B39" s="58" t="s">
        <v>124</v>
      </c>
      <c r="C39" s="58" t="s">
        <v>126</v>
      </c>
      <c r="D39" s="59" t="n">
        <v>54</v>
      </c>
      <c r="E39" s="59" t="n">
        <v>45</v>
      </c>
      <c r="F39" s="60" t="n">
        <v>8.66</v>
      </c>
      <c r="G39" s="60" t="n">
        <v>0.38</v>
      </c>
      <c r="H39" s="61" t="n">
        <v>9.9120443611</v>
      </c>
      <c r="I39" s="62" t="n">
        <f aca="false">H39</f>
        <v>9.9120443611</v>
      </c>
      <c r="J39" s="62" t="n">
        <f aca="false">10+LOG10(SIN(RADIANS(D39+E39/60+F39/3600)))</f>
        <v>9.91204436121176</v>
      </c>
      <c r="K39" s="63" t="n">
        <f aca="false">(I39-J39)*10000000000</f>
        <v>-1.11759490550867</v>
      </c>
      <c r="L39" s="64" t="s">
        <v>100</v>
      </c>
      <c r="M39" s="64"/>
      <c r="N39" s="61" t="n">
        <v>4.1699907806</v>
      </c>
      <c r="O39" s="65" t="n">
        <f aca="false">O40+I39-I40</f>
        <v>4.1699907804</v>
      </c>
      <c r="P39" s="66" t="n">
        <f aca="false">IF(N39="","",(O39-N39)*10000000000)</f>
        <v>-1.99999128369655</v>
      </c>
      <c r="Q39" s="59" t="n">
        <v>0</v>
      </c>
      <c r="R39" s="62" t="n">
        <f aca="false">I39-COS(RADIANS(D39+E39/60+F39/3600))/SIN(RADIANS(D39+E39/60+F39/3600))*RADIANS(Q39/3600)/LN(10)</f>
        <v>9.9120443611</v>
      </c>
      <c r="S39" s="65" t="n">
        <f aca="false">S40+R39-R40</f>
        <v>4.1699907804</v>
      </c>
      <c r="T39" s="65" t="n">
        <f aca="false">T40+J39-J40</f>
        <v>4.16999078059668</v>
      </c>
      <c r="U39" s="67" t="n">
        <f aca="false">Summary!$C$6*ASIN(10^O39/Summary!$C$6)</f>
        <v>14790.8204135946</v>
      </c>
      <c r="V39" s="68" t="n">
        <v>14790.8204</v>
      </c>
      <c r="W39" s="69" t="n">
        <f aca="false">IF(V39="","",(V39-U39)*Summary!$C$7*1000)</f>
        <v>-0.0264963041126484</v>
      </c>
      <c r="X39" s="70" t="n">
        <f aca="false">U39*Summary!$C$7</f>
        <v>28827.8502042204</v>
      </c>
      <c r="Y39" s="64"/>
    </row>
    <row r="40" customFormat="false" ht="15" hidden="false" customHeight="false" outlineLevel="0" collapsed="false">
      <c r="A40" s="72" t="n">
        <v>12</v>
      </c>
      <c r="B40" s="72" t="s">
        <v>127</v>
      </c>
      <c r="C40" s="72" t="s">
        <v>123</v>
      </c>
      <c r="D40" s="73" t="n">
        <v>90</v>
      </c>
      <c r="E40" s="73" t="n">
        <v>42</v>
      </c>
      <c r="F40" s="74" t="n">
        <v>1.39</v>
      </c>
      <c r="G40" s="74" t="n">
        <v>0.75</v>
      </c>
      <c r="H40" s="75" t="n">
        <v>9.9999675515</v>
      </c>
      <c r="I40" s="76" t="n">
        <f aca="false">H40</f>
        <v>9.9999675515</v>
      </c>
      <c r="J40" s="76" t="n">
        <f aca="false">10+LOG10(SIN(RADIANS(D40+E40/60+F40/3600)))</f>
        <v>9.99996755147817</v>
      </c>
      <c r="K40" s="77" t="n">
        <f aca="false">(I40-J40)*10000000000</f>
        <v>0.218296491993897</v>
      </c>
      <c r="L40" s="78" t="s">
        <v>103</v>
      </c>
      <c r="M40" s="78" t="n">
        <v>11</v>
      </c>
      <c r="N40" s="79"/>
      <c r="O40" s="79" t="n">
        <f aca="false">O36</f>
        <v>4.2579139708</v>
      </c>
      <c r="P40" s="80"/>
      <c r="Q40" s="73" t="n">
        <v>0</v>
      </c>
      <c r="R40" s="76" t="n">
        <f aca="false">I40-COS(RADIANS(D40+E40/60+F40/3600))/SIN(RADIANS(D40+E40/60+F40/3600))*RADIANS(Q40/3600)/LN(10)</f>
        <v>9.9999675515</v>
      </c>
      <c r="S40" s="79" t="n">
        <f aca="false">S36</f>
        <v>4.2579139708</v>
      </c>
      <c r="T40" s="79" t="n">
        <f aca="false">T36</f>
        <v>4.25791397086309</v>
      </c>
      <c r="U40" s="81"/>
      <c r="V40" s="81"/>
      <c r="W40" s="82"/>
      <c r="X40" s="83"/>
      <c r="Y40" s="78"/>
    </row>
    <row r="41" customFormat="false" ht="15" hidden="false" customHeight="false" outlineLevel="0" collapsed="false">
      <c r="A41" s="5" t="n">
        <v>13</v>
      </c>
      <c r="B41" s="5" t="s">
        <v>127</v>
      </c>
      <c r="C41" s="5" t="s">
        <v>128</v>
      </c>
      <c r="D41" s="38" t="n">
        <v>51</v>
      </c>
      <c r="E41" s="38" t="n">
        <v>56</v>
      </c>
      <c r="F41" s="30" t="n">
        <v>49.41</v>
      </c>
      <c r="G41" s="30" t="n">
        <v>0.25</v>
      </c>
      <c r="H41" s="16" t="n">
        <v>9.8962183227</v>
      </c>
      <c r="I41" s="12" t="n">
        <f aca="false">H41</f>
        <v>9.8962183227</v>
      </c>
      <c r="J41" s="12" t="n">
        <f aca="false">10+LOG10(SIN(RADIANS(D41+E41/60+F41/3600)))</f>
        <v>9.89621832263456</v>
      </c>
      <c r="K41" s="25" t="n">
        <f aca="false">(I41-J41)*10000000000</f>
        <v>0.65444538677184</v>
      </c>
      <c r="L41" s="39" t="s">
        <v>100</v>
      </c>
      <c r="N41" s="16" t="n">
        <v>3.9562581411</v>
      </c>
      <c r="O41" s="40" t="n">
        <f aca="false">O43+I41-I43</f>
        <v>3.9562581409</v>
      </c>
      <c r="P41" s="41" t="n">
        <f aca="false">IF(N41="","",(O41-N41)*10000000000)</f>
        <v>-2.00000904726494</v>
      </c>
      <c r="Q41" s="38" t="n">
        <v>0</v>
      </c>
      <c r="R41" s="12" t="n">
        <f aca="false">I41-COS(RADIANS(D41+E41/60+F41/3600))/SIN(RADIANS(D41+E41/60+F41/3600))*RADIANS(Q41/3600)/LN(10)</f>
        <v>9.8962183227</v>
      </c>
      <c r="S41" s="40" t="n">
        <f aca="false">S43+R41-R43</f>
        <v>3.9562581409</v>
      </c>
      <c r="T41" s="40" t="n">
        <f aca="false">T43+J41-J43</f>
        <v>3.95625814111141</v>
      </c>
      <c r="U41" s="42" t="n">
        <f aca="false">Summary!$C$6*ASIN(10^O41/Summary!$C$6)</f>
        <v>9041.87909165979</v>
      </c>
      <c r="V41" s="15" t="n">
        <v>9041.8792</v>
      </c>
      <c r="W41" s="43" t="n">
        <f aca="false">IF(V41="","",(V41-U41)*Summary!$C$7*1000)</f>
        <v>0.211159032466027</v>
      </c>
      <c r="X41" s="44" t="n">
        <f aca="false">U41*Summary!$C$7</f>
        <v>17622.9532054533</v>
      </c>
      <c r="Y41" s="26" t="n">
        <f aca="false">(D41+D42+D43-180)*3600+(E41+E42+E43)*60+F41+F42+F43-(G41+G42+G43)</f>
        <v>0</v>
      </c>
    </row>
    <row r="42" customFormat="false" ht="15" hidden="false" customHeight="false" outlineLevel="0" collapsed="false">
      <c r="A42" s="5" t="n">
        <v>13</v>
      </c>
      <c r="B42" s="5" t="s">
        <v>124</v>
      </c>
      <c r="C42" s="5" t="s">
        <v>129</v>
      </c>
      <c r="D42" s="38" t="n">
        <v>64</v>
      </c>
      <c r="E42" s="38" t="n">
        <v>36</v>
      </c>
      <c r="F42" s="30" t="n">
        <v>51.99</v>
      </c>
      <c r="G42" s="30" t="n">
        <v>0.29</v>
      </c>
      <c r="H42" s="16" t="n">
        <v>9.9559009394</v>
      </c>
      <c r="I42" s="12" t="n">
        <f aca="false">H42</f>
        <v>9.9559009394</v>
      </c>
      <c r="J42" s="12" t="n">
        <f aca="false">10+LOG10(SIN(RADIANS(D42+E42/60+F42/3600)))</f>
        <v>9.95590093957781</v>
      </c>
      <c r="K42" s="25" t="n">
        <f aca="false">(I42-J42)*10000000000</f>
        <v>-1.77809766910286</v>
      </c>
      <c r="L42" s="39" t="s">
        <v>100</v>
      </c>
      <c r="N42" s="16" t="n">
        <v>4.0159407578</v>
      </c>
      <c r="O42" s="40" t="n">
        <f aca="false">O43+I42-I43</f>
        <v>4.0159407576</v>
      </c>
      <c r="P42" s="41" t="n">
        <f aca="false">IF(N42="","",(O42-N42)*10000000000)</f>
        <v>-2.00000904726494</v>
      </c>
      <c r="Q42" s="38" t="n">
        <v>0</v>
      </c>
      <c r="R42" s="12" t="n">
        <f aca="false">I42-COS(RADIANS(D42+E42/60+F42/3600))/SIN(RADIANS(D42+E42/60+F42/3600))*RADIANS(Q42/3600)/LN(10)</f>
        <v>9.9559009394</v>
      </c>
      <c r="S42" s="40" t="n">
        <f aca="false">S43+R42-R43</f>
        <v>4.0159407576</v>
      </c>
      <c r="T42" s="40" t="n">
        <f aca="false">T43+J42-J43</f>
        <v>4.01594075805467</v>
      </c>
      <c r="U42" s="42" t="n">
        <f aca="false">Summary!$C$6*ASIN(10^O42/Summary!$C$6)</f>
        <v>10373.8863883202</v>
      </c>
      <c r="V42" s="15" t="n">
        <v>10373.8865</v>
      </c>
      <c r="W42" s="43" t="n">
        <f aca="false">IF(V42="","",(V42-U42)*Summary!$C$7*1000)</f>
        <v>0.217667962331844</v>
      </c>
      <c r="X42" s="44" t="n">
        <f aca="false">U42*Summary!$C$7</f>
        <v>20219.0841667732</v>
      </c>
    </row>
    <row r="43" customFormat="false" ht="15" hidden="false" customHeight="false" outlineLevel="0" collapsed="false">
      <c r="A43" s="45" t="n">
        <v>13</v>
      </c>
      <c r="B43" s="45" t="s">
        <v>130</v>
      </c>
      <c r="C43" s="45" t="s">
        <v>131</v>
      </c>
      <c r="D43" s="46" t="n">
        <v>63</v>
      </c>
      <c r="E43" s="46" t="n">
        <v>26</v>
      </c>
      <c r="F43" s="47" t="n">
        <v>19.42</v>
      </c>
      <c r="G43" s="47" t="n">
        <v>0.28</v>
      </c>
      <c r="H43" s="48" t="n">
        <v>9.9515593142</v>
      </c>
      <c r="I43" s="49" t="n">
        <f aca="false">H43</f>
        <v>9.9515593142</v>
      </c>
      <c r="J43" s="49" t="n">
        <f aca="false">10+LOG10(SIN(RADIANS(D43+E43/60+F43/3600)))</f>
        <v>9.95155931430592</v>
      </c>
      <c r="K43" s="50" t="n">
        <f aca="false">(I43-J43)*10000000000</f>
        <v>-1.05922381976598</v>
      </c>
      <c r="L43" s="51" t="s">
        <v>103</v>
      </c>
      <c r="M43" s="51" t="n">
        <v>12</v>
      </c>
      <c r="N43" s="52"/>
      <c r="O43" s="52" t="n">
        <f aca="false">O38</f>
        <v>4.0115991324</v>
      </c>
      <c r="P43" s="53"/>
      <c r="Q43" s="46" t="n">
        <v>0</v>
      </c>
      <c r="R43" s="49" t="n">
        <f aca="false">I43-COS(RADIANS(D43+E43/60+F43/3600))/SIN(RADIANS(D43+E43/60+F43/3600))*RADIANS(Q43/3600)/LN(10)</f>
        <v>9.9515593142</v>
      </c>
      <c r="S43" s="52" t="n">
        <f aca="false">S38</f>
        <v>4.0115991324</v>
      </c>
      <c r="T43" s="52" t="n">
        <f aca="false">T38</f>
        <v>4.01159913278278</v>
      </c>
      <c r="U43" s="54"/>
      <c r="V43" s="54"/>
      <c r="W43" s="56"/>
      <c r="X43" s="57"/>
      <c r="Y43" s="51"/>
    </row>
    <row r="44" customFormat="false" ht="15" hidden="false" customHeight="false" outlineLevel="0" collapsed="false">
      <c r="A44" s="58" t="n">
        <v>14</v>
      </c>
      <c r="B44" s="58" t="s">
        <v>124</v>
      </c>
      <c r="C44" s="58" t="s">
        <v>132</v>
      </c>
      <c r="D44" s="59" t="n">
        <v>52</v>
      </c>
      <c r="E44" s="59" t="n">
        <v>57</v>
      </c>
      <c r="F44" s="60" t="n">
        <v>13.04</v>
      </c>
      <c r="G44" s="60" t="n">
        <v>0.18</v>
      </c>
      <c r="H44" s="61" t="n">
        <v>9.9020834907</v>
      </c>
      <c r="I44" s="62" t="n">
        <f aca="false">H44</f>
        <v>9.9020834907</v>
      </c>
      <c r="J44" s="62" t="n">
        <f aca="false">10+LOG10(SIN(RADIANS(D44+E44/60+F44/3600)))</f>
        <v>9.90208349086042</v>
      </c>
      <c r="K44" s="63" t="n">
        <f aca="false">(I44-J44)*10000000000</f>
        <v>-1.60422786166237</v>
      </c>
      <c r="L44" s="64" t="s">
        <v>100</v>
      </c>
      <c r="M44" s="64"/>
      <c r="N44" s="61" t="n">
        <v>3.891210038</v>
      </c>
      <c r="O44" s="65" t="n">
        <f aca="false">O46+I44-I46</f>
        <v>3.8912100378</v>
      </c>
      <c r="P44" s="66" t="n">
        <f aca="false">IF(N44="","",(O44-N44)*10000000000)</f>
        <v>-1.99999572458864</v>
      </c>
      <c r="Q44" s="59" t="n">
        <v>0</v>
      </c>
      <c r="R44" s="62" t="n">
        <f aca="false">I44-COS(RADIANS(D44+E44/60+F44/3600))/SIN(RADIANS(D44+E44/60+F44/3600))*RADIANS(Q44/3600)/LN(10)</f>
        <v>9.9020834907</v>
      </c>
      <c r="S44" s="65" t="n">
        <f aca="false">S46+R44-R46</f>
        <v>3.8912100378</v>
      </c>
      <c r="T44" s="65" t="n">
        <f aca="false">T46+J44-J46</f>
        <v>3.89121003820888</v>
      </c>
      <c r="U44" s="67" t="n">
        <f aca="false">Summary!$C$6*ASIN(10^O44/Summary!$C$6)</f>
        <v>7784.13660302812</v>
      </c>
      <c r="V44" s="68" t="n">
        <v>7784.1366</v>
      </c>
      <c r="W44" s="69" t="n">
        <f aca="false">IF(V44="","",(V44-U44)*Summary!$C$7*1000)</f>
        <v>-0.00590190755379429</v>
      </c>
      <c r="X44" s="70" t="n">
        <f aca="false">U44*Summary!$C$7</f>
        <v>15171.5670724413</v>
      </c>
      <c r="Y44" s="71" t="n">
        <f aca="false">(D44+D45+D46-180)*3600+(E44+E45+E46)*60+F44+F45+F46-(G44+G45+G46)</f>
        <v>0</v>
      </c>
    </row>
    <row r="45" customFormat="false" ht="15" hidden="false" customHeight="false" outlineLevel="0" collapsed="false">
      <c r="A45" s="58" t="n">
        <v>14</v>
      </c>
      <c r="B45" s="58" t="s">
        <v>130</v>
      </c>
      <c r="C45" s="58" t="s">
        <v>133</v>
      </c>
      <c r="D45" s="59" t="n">
        <v>59</v>
      </c>
      <c r="E45" s="59" t="n">
        <v>3</v>
      </c>
      <c r="F45" s="60" t="n">
        <v>27.81</v>
      </c>
      <c r="G45" s="60" t="n">
        <v>0.19</v>
      </c>
      <c r="H45" s="61" t="n">
        <v>9.9333282005</v>
      </c>
      <c r="I45" s="62" t="n">
        <f aca="false">H45</f>
        <v>9.9333282005</v>
      </c>
      <c r="J45" s="62" t="n">
        <f aca="false">10+LOG10(SIN(RADIANS(D45+E45/60+F45/3600)))</f>
        <v>9.93332820062334</v>
      </c>
      <c r="K45" s="63" t="n">
        <f aca="false">(I45-J45)*10000000000</f>
        <v>-1.23339560786917</v>
      </c>
      <c r="L45" s="64" t="s">
        <v>100</v>
      </c>
      <c r="M45" s="64"/>
      <c r="N45" s="61" t="n">
        <v>3.9224547478</v>
      </c>
      <c r="O45" s="65" t="n">
        <f aca="false">O46+I45-I46</f>
        <v>3.9224547476</v>
      </c>
      <c r="P45" s="66" t="n">
        <f aca="false">IF(N45="","",(O45-N45)*10000000000)</f>
        <v>-2.00000016548074</v>
      </c>
      <c r="Q45" s="59" t="n">
        <v>0</v>
      </c>
      <c r="R45" s="62" t="n">
        <f aca="false">I45-COS(RADIANS(D45+E45/60+F45/3600))/SIN(RADIANS(D45+E45/60+F45/3600))*RADIANS(Q45/3600)/LN(10)</f>
        <v>9.9333282005</v>
      </c>
      <c r="S45" s="65" t="n">
        <f aca="false">S46+R45-R46</f>
        <v>3.9224547476</v>
      </c>
      <c r="T45" s="65" t="n">
        <f aca="false">T46+J45-J46</f>
        <v>3.9224547479718</v>
      </c>
      <c r="U45" s="67" t="n">
        <f aca="false">Summary!$C$6*ASIN(10^O45/Summary!$C$6)</f>
        <v>8364.79346185415</v>
      </c>
      <c r="V45" s="68" t="n">
        <v>8364.7935</v>
      </c>
      <c r="W45" s="69" t="n">
        <f aca="false">IF(V45="","",(V45-U45)*Summary!$C$7*1000)</f>
        <v>0.0743476545803868</v>
      </c>
      <c r="X45" s="70" t="n">
        <f aca="false">U45*Summary!$C$7</f>
        <v>16303.2885373916</v>
      </c>
      <c r="Y45" s="64"/>
    </row>
    <row r="46" customFormat="false" ht="15" hidden="false" customHeight="false" outlineLevel="0" collapsed="false">
      <c r="A46" s="72" t="n">
        <v>14</v>
      </c>
      <c r="B46" s="72" t="s">
        <v>134</v>
      </c>
      <c r="C46" s="72" t="s">
        <v>128</v>
      </c>
      <c r="D46" s="73" t="n">
        <v>67</v>
      </c>
      <c r="E46" s="73" t="n">
        <v>59</v>
      </c>
      <c r="F46" s="74" t="n">
        <v>19.73</v>
      </c>
      <c r="G46" s="74" t="n">
        <v>0.21</v>
      </c>
      <c r="H46" s="75" t="n">
        <v>9.9671315938</v>
      </c>
      <c r="I46" s="76" t="n">
        <f aca="false">H46</f>
        <v>9.9671315938</v>
      </c>
      <c r="J46" s="76" t="n">
        <f aca="false">10+LOG10(SIN(RADIANS(D46+E46/60+F46/3600)))</f>
        <v>9.96713159376296</v>
      </c>
      <c r="K46" s="77" t="n">
        <f aca="false">(I46-J46)*10000000000</f>
        <v>0.370423691720134</v>
      </c>
      <c r="L46" s="78" t="s">
        <v>103</v>
      </c>
      <c r="M46" s="78" t="n">
        <v>13</v>
      </c>
      <c r="N46" s="79"/>
      <c r="O46" s="79" t="n">
        <f aca="false">O41</f>
        <v>3.9562581409</v>
      </c>
      <c r="P46" s="80"/>
      <c r="Q46" s="73" t="n">
        <v>0</v>
      </c>
      <c r="R46" s="76" t="n">
        <f aca="false">I46-COS(RADIANS(D46+E46/60+F46/3600))/SIN(RADIANS(D46+E46/60+F46/3600))*RADIANS(Q46/3600)/LN(10)</f>
        <v>9.9671315938</v>
      </c>
      <c r="S46" s="79" t="n">
        <f aca="false">S41</f>
        <v>3.9562581409</v>
      </c>
      <c r="T46" s="79" t="n">
        <f aca="false">T41</f>
        <v>3.95625814111141</v>
      </c>
      <c r="U46" s="81"/>
      <c r="V46" s="81"/>
      <c r="W46" s="82"/>
      <c r="X46" s="83"/>
      <c r="Y46" s="78"/>
    </row>
    <row r="47" customFormat="false" ht="15" hidden="false" customHeight="false" outlineLevel="0" collapsed="false">
      <c r="A47" s="5" t="n">
        <v>15</v>
      </c>
      <c r="B47" s="5" t="s">
        <v>134</v>
      </c>
      <c r="C47" s="5" t="s">
        <v>135</v>
      </c>
      <c r="D47" s="38" t="n">
        <v>78</v>
      </c>
      <c r="E47" s="38" t="n">
        <v>53</v>
      </c>
      <c r="F47" s="30" t="n">
        <v>28.7</v>
      </c>
      <c r="G47" s="30" t="n">
        <v>0.38</v>
      </c>
      <c r="H47" s="16" t="n">
        <v>9.9917856172</v>
      </c>
      <c r="I47" s="12" t="n">
        <f aca="false">H47</f>
        <v>9.9917856172</v>
      </c>
      <c r="J47" s="12" t="n">
        <f aca="false">10+LOG10(SIN(RADIANS(D47+E47/60+F47/3600)))</f>
        <v>9.99178561733382</v>
      </c>
      <c r="K47" s="25" t="n">
        <f aca="false">(I47-J47)*10000000000</f>
        <v>-1.33820066139378</v>
      </c>
      <c r="L47" s="39" t="s">
        <v>100</v>
      </c>
      <c r="N47" s="16" t="n">
        <v>4.1225051842</v>
      </c>
      <c r="O47" s="40" t="n">
        <f aca="false">O48+I47-I48</f>
        <v>4.1225051841</v>
      </c>
      <c r="P47" s="41" t="n">
        <f aca="false">IF(N47="","",(O47-N47)*10000000000)</f>
        <v>-1.00000008274037</v>
      </c>
      <c r="Q47" s="38" t="n">
        <v>0</v>
      </c>
      <c r="R47" s="12" t="n">
        <f aca="false">I47-COS(RADIANS(D47+E47/60+F47/3600))/SIN(RADIANS(D47+E47/60+F47/3600))*RADIANS(Q47/3600)/LN(10)</f>
        <v>9.9917856172</v>
      </c>
      <c r="S47" s="40" t="n">
        <f aca="false">S48+R47-R48</f>
        <v>4.1225051841</v>
      </c>
      <c r="T47" s="40" t="n">
        <f aca="false">T48+J47-J48</f>
        <v>4.12250518404487</v>
      </c>
      <c r="U47" s="42" t="n">
        <f aca="false">Summary!$C$6*ASIN(10^O47/Summary!$C$6)</f>
        <v>13258.8658422602</v>
      </c>
      <c r="V47" s="15" t="n">
        <v>13258.8659</v>
      </c>
      <c r="W47" s="43" t="n">
        <f aca="false">IF(V47="","",(V47-U47)*Summary!$C$7*1000)</f>
        <v>0.112536969716171</v>
      </c>
      <c r="X47" s="44" t="n">
        <f aca="false">U47*Summary!$C$7</f>
        <v>25842.0146881927</v>
      </c>
      <c r="Y47" s="26" t="n">
        <f aca="false">(D47+D48+D49-180)*3600+(E47+E48+E49)*60+F47+F48+F49-(G47+G48+G49)</f>
        <v>3.66373598126302E-015</v>
      </c>
    </row>
    <row r="48" customFormat="false" ht="15" hidden="false" customHeight="false" outlineLevel="0" collapsed="false">
      <c r="A48" s="5" t="n">
        <v>15</v>
      </c>
      <c r="B48" s="5" t="s">
        <v>136</v>
      </c>
      <c r="C48" s="5" t="s">
        <v>137</v>
      </c>
      <c r="D48" s="38" t="n">
        <v>35</v>
      </c>
      <c r="E48" s="38" t="n">
        <v>10</v>
      </c>
      <c r="F48" s="30" t="n">
        <v>33.65</v>
      </c>
      <c r="G48" s="30" t="n">
        <v>0.25</v>
      </c>
      <c r="H48" s="16" t="n">
        <v>9.7604904709</v>
      </c>
      <c r="I48" s="12" t="n">
        <f aca="false">H48</f>
        <v>9.7604904709</v>
      </c>
      <c r="J48" s="12" t="n">
        <f aca="false">10+LOG10(SIN(RADIANS(D48+E48/60+F48/3600)))</f>
        <v>9.76049047149783</v>
      </c>
      <c r="K48" s="25" t="n">
        <f aca="false">(I48-J48)*10000000000</f>
        <v>-5.97825788872797</v>
      </c>
      <c r="L48" s="39" t="s">
        <v>103</v>
      </c>
      <c r="M48" s="0" t="n">
        <v>14</v>
      </c>
      <c r="N48" s="40"/>
      <c r="O48" s="40" t="n">
        <f aca="false">O44</f>
        <v>3.8912100378</v>
      </c>
      <c r="P48" s="41"/>
      <c r="Q48" s="38" t="n">
        <v>0</v>
      </c>
      <c r="R48" s="12" t="n">
        <f aca="false">I48-COS(RADIANS(D48+E48/60+F48/3600))/SIN(RADIANS(D48+E48/60+F48/3600))*RADIANS(Q48/3600)/LN(10)</f>
        <v>9.7604904709</v>
      </c>
      <c r="S48" s="40" t="n">
        <f aca="false">S44</f>
        <v>3.8912100378</v>
      </c>
      <c r="T48" s="40" t="n">
        <f aca="false">T44</f>
        <v>3.89121003820888</v>
      </c>
      <c r="U48" s="42"/>
      <c r="V48" s="42"/>
      <c r="W48" s="43"/>
      <c r="X48" s="44"/>
    </row>
    <row r="49" customFormat="false" ht="15" hidden="false" customHeight="false" outlineLevel="0" collapsed="false">
      <c r="A49" s="45" t="n">
        <v>15</v>
      </c>
      <c r="B49" s="45" t="s">
        <v>130</v>
      </c>
      <c r="C49" s="45" t="s">
        <v>138</v>
      </c>
      <c r="D49" s="46" t="n">
        <v>65</v>
      </c>
      <c r="E49" s="46" t="n">
        <v>55</v>
      </c>
      <c r="F49" s="47" t="n">
        <v>58.56</v>
      </c>
      <c r="G49" s="47" t="n">
        <v>0.28</v>
      </c>
      <c r="H49" s="48" t="n">
        <v>9.9605034709</v>
      </c>
      <c r="I49" s="49" t="n">
        <f aca="false">H49</f>
        <v>9.9605034709</v>
      </c>
      <c r="J49" s="49" t="n">
        <f aca="false">10+LOG10(SIN(RADIANS(D49+E49/60+F49/3600)))</f>
        <v>9.96050347100677</v>
      </c>
      <c r="K49" s="50" t="n">
        <f aca="false">(I49-J49)*10000000000</f>
        <v>-1.06766151475313</v>
      </c>
      <c r="L49" s="51" t="s">
        <v>100</v>
      </c>
      <c r="M49" s="51"/>
      <c r="N49" s="48" t="n">
        <v>4.0912230379</v>
      </c>
      <c r="O49" s="52" t="n">
        <f aca="false">O48+I49-I48</f>
        <v>4.0912230378</v>
      </c>
      <c r="P49" s="53" t="n">
        <f aca="false">IF(N49="","",(O49-N49)*10000000000)</f>
        <v>-0.999991200956174</v>
      </c>
      <c r="Q49" s="46" t="n">
        <v>0</v>
      </c>
      <c r="R49" s="49" t="n">
        <f aca="false">I49-COS(RADIANS(D49+E49/60+F49/3600))/SIN(RADIANS(D49+E49/60+F49/3600))*RADIANS(Q49/3600)/LN(10)</f>
        <v>9.9605034709</v>
      </c>
      <c r="S49" s="52" t="n">
        <f aca="false">S48+R49-R48</f>
        <v>4.0912230378</v>
      </c>
      <c r="T49" s="52" t="n">
        <f aca="false">T48+J49-J48</f>
        <v>4.09122303771782</v>
      </c>
      <c r="U49" s="54" t="n">
        <f aca="false">Summary!$C$6*ASIN(10^O49/Summary!$C$6)</f>
        <v>12337.4120590631</v>
      </c>
      <c r="V49" s="55" t="n">
        <v>12337.4122</v>
      </c>
      <c r="W49" s="56" t="n">
        <f aca="false">IF(V49="","",(V49-U49)*Summary!$C$7*1000)</f>
        <v>0.274691217144415</v>
      </c>
      <c r="X49" s="57" t="n">
        <f aca="false">U49*Summary!$C$7</f>
        <v>24046.0675473766</v>
      </c>
      <c r="Y49" s="51"/>
    </row>
    <row r="50" customFormat="false" ht="15" hidden="false" customHeight="false" outlineLevel="0" collapsed="false">
      <c r="A50" s="58" t="n">
        <v>16</v>
      </c>
      <c r="B50" s="58" t="s">
        <v>136</v>
      </c>
      <c r="C50" s="58" t="s">
        <v>139</v>
      </c>
      <c r="D50" s="59" t="n">
        <v>35</v>
      </c>
      <c r="E50" s="59" t="n">
        <v>4</v>
      </c>
      <c r="F50" s="60" t="n">
        <v>56.87</v>
      </c>
      <c r="G50" s="60" t="n">
        <v>0.29</v>
      </c>
      <c r="H50" s="61" t="n">
        <v>9.7594826215</v>
      </c>
      <c r="I50" s="62" t="n">
        <f aca="false">H50</f>
        <v>9.7594826215</v>
      </c>
      <c r="J50" s="62" t="n">
        <f aca="false">10+LOG10(SIN(RADIANS(D50+E50/60+F50/3600)))</f>
        <v>9.75948262192395</v>
      </c>
      <c r="K50" s="63" t="n">
        <f aca="false">(I50-J50)*10000000000</f>
        <v>-4.23947099648103</v>
      </c>
      <c r="L50" s="64" t="s">
        <v>100</v>
      </c>
      <c r="M50" s="64"/>
      <c r="N50" s="61" t="n">
        <v>3.9238431416</v>
      </c>
      <c r="O50" s="65" t="n">
        <f aca="false">O51+I50-I51</f>
        <v>3.9238431415</v>
      </c>
      <c r="P50" s="66" t="n">
        <f aca="false">IF(N50="","",(O50-N50)*10000000000)</f>
        <v>-1.00000896452457</v>
      </c>
      <c r="Q50" s="59" t="n">
        <v>0</v>
      </c>
      <c r="R50" s="62" t="n">
        <f aca="false">I50-COS(RADIANS(D50+E50/60+F50/3600))/SIN(RADIANS(D50+E50/60+F50/3600))*RADIANS(Q50/3600)/LN(10)</f>
        <v>9.7594826215</v>
      </c>
      <c r="S50" s="65" t="n">
        <f aca="false">S51+R50-R51</f>
        <v>3.9238431415</v>
      </c>
      <c r="T50" s="65" t="n">
        <f aca="false">T51+J50-J51</f>
        <v>3.9238431417637</v>
      </c>
      <c r="U50" s="67" t="n">
        <f aca="false">Summary!$C$6*ASIN(10^O50/Summary!$C$6)</f>
        <v>8391.57767813208</v>
      </c>
      <c r="V50" s="68" t="n">
        <v>8391.5774</v>
      </c>
      <c r="W50" s="69" t="n">
        <f aca="false">IF(V50="","",(V50-U50)*Summary!$C$7*1000)</f>
        <v>-0.542089601155544</v>
      </c>
      <c r="X50" s="70" t="n">
        <f aca="false">U50*Summary!$C$7</f>
        <v>16355.4919549916</v>
      </c>
      <c r="Y50" s="71" t="n">
        <f aca="false">(D50+D51+D52-180)*3600+(E50+E51+E52)*60+F50+F51+F52-(G50+G51+G52)</f>
        <v>-4.88498130835069E-015</v>
      </c>
    </row>
    <row r="51" customFormat="false" ht="15" hidden="false" customHeight="false" outlineLevel="0" collapsed="false">
      <c r="A51" s="58" t="n">
        <v>16</v>
      </c>
      <c r="B51" s="58" t="s">
        <v>140</v>
      </c>
      <c r="C51" s="58" t="s">
        <v>135</v>
      </c>
      <c r="D51" s="59" t="n">
        <v>65</v>
      </c>
      <c r="E51" s="59" t="n">
        <v>14</v>
      </c>
      <c r="F51" s="60" t="n">
        <v>50.05</v>
      </c>
      <c r="G51" s="60" t="n">
        <v>0.33</v>
      </c>
      <c r="H51" s="61" t="n">
        <v>9.9581446641</v>
      </c>
      <c r="I51" s="62" t="n">
        <f aca="false">H51</f>
        <v>9.9581446641</v>
      </c>
      <c r="J51" s="62" t="n">
        <f aca="false">10+LOG10(SIN(RADIANS(D51+E51/60+F51/3600)))</f>
        <v>9.95814466420513</v>
      </c>
      <c r="K51" s="63" t="n">
        <f aca="false">(I51-J51)*10000000000</f>
        <v>-1.05124797755707</v>
      </c>
      <c r="L51" s="64" t="s">
        <v>103</v>
      </c>
      <c r="M51" s="64" t="n">
        <v>15</v>
      </c>
      <c r="N51" s="65"/>
      <c r="O51" s="65" t="n">
        <f aca="false">O47</f>
        <v>4.1225051841</v>
      </c>
      <c r="P51" s="66"/>
      <c r="Q51" s="59" t="n">
        <v>0</v>
      </c>
      <c r="R51" s="62" t="n">
        <f aca="false">I51-COS(RADIANS(D51+E51/60+F51/3600))/SIN(RADIANS(D51+E51/60+F51/3600))*RADIANS(Q51/3600)/LN(10)</f>
        <v>9.9581446641</v>
      </c>
      <c r="S51" s="65" t="n">
        <f aca="false">S47</f>
        <v>4.1225051841</v>
      </c>
      <c r="T51" s="65" t="n">
        <f aca="false">T47</f>
        <v>4.12250518404487</v>
      </c>
      <c r="U51" s="67"/>
      <c r="V51" s="67"/>
      <c r="W51" s="69"/>
      <c r="X51" s="70"/>
      <c r="Y51" s="64"/>
    </row>
    <row r="52" customFormat="false" ht="15" hidden="false" customHeight="false" outlineLevel="0" collapsed="false">
      <c r="A52" s="72" t="n">
        <v>16</v>
      </c>
      <c r="B52" s="72" t="s">
        <v>130</v>
      </c>
      <c r="C52" s="72" t="s">
        <v>141</v>
      </c>
      <c r="D52" s="73" t="n">
        <v>79</v>
      </c>
      <c r="E52" s="73" t="n">
        <v>40</v>
      </c>
      <c r="F52" s="74" t="n">
        <v>14.14</v>
      </c>
      <c r="G52" s="74" t="n">
        <v>0.44</v>
      </c>
      <c r="H52" s="75" t="n">
        <v>9.992903791</v>
      </c>
      <c r="I52" s="76" t="n">
        <f aca="false">H52</f>
        <v>9.992903791</v>
      </c>
      <c r="J52" s="76" t="n">
        <f aca="false">10+LOG10(SIN(RADIANS(D52+E52/60+F52/3600)))</f>
        <v>9.9929037911365</v>
      </c>
      <c r="K52" s="77" t="n">
        <f aca="false">(I52-J52)*10000000000</f>
        <v>-1.36497035896355</v>
      </c>
      <c r="L52" s="78" t="s">
        <v>100</v>
      </c>
      <c r="M52" s="78"/>
      <c r="N52" s="75" t="n">
        <v>4.1572643111</v>
      </c>
      <c r="O52" s="79" t="n">
        <f aca="false">O51+I52-I51</f>
        <v>4.157264311</v>
      </c>
      <c r="P52" s="80" t="n">
        <f aca="false">IF(N52="","",(O52-N52)*10000000000)</f>
        <v>-1.00000896452457</v>
      </c>
      <c r="Q52" s="73" t="n">
        <v>0</v>
      </c>
      <c r="R52" s="76" t="n">
        <f aca="false">I52-COS(RADIANS(D52+E52/60+F52/3600))/SIN(RADIANS(D52+E52/60+F52/3600))*RADIANS(Q52/3600)/LN(10)</f>
        <v>9.992903791</v>
      </c>
      <c r="S52" s="79" t="n">
        <f aca="false">S51+R52-R51</f>
        <v>4.157264311</v>
      </c>
      <c r="T52" s="79" t="n">
        <f aca="false">T51+J52-J51</f>
        <v>4.15726431097625</v>
      </c>
      <c r="U52" s="81" t="n">
        <f aca="false">Summary!$C$6*ASIN(10^O52/Summary!$C$6)</f>
        <v>14363.679635619</v>
      </c>
      <c r="V52" s="84" t="n">
        <v>14363.6796</v>
      </c>
      <c r="W52" s="82" t="n">
        <f aca="false">IF(V52="","",(V52-U52)*Summary!$C$7*1000)</f>
        <v>-0.0694226409877734</v>
      </c>
      <c r="X52" s="83" t="n">
        <f aca="false">U52*Summary!$C$7</f>
        <v>27995.3371982293</v>
      </c>
      <c r="Y52" s="78"/>
    </row>
    <row r="53" customFormat="false" ht="15" hidden="false" customHeight="false" outlineLevel="0" collapsed="false">
      <c r="A53" s="5" t="n">
        <v>17</v>
      </c>
      <c r="B53" s="5" t="s">
        <v>136</v>
      </c>
      <c r="C53" s="5" t="s">
        <v>142</v>
      </c>
      <c r="D53" s="38" t="n">
        <v>99</v>
      </c>
      <c r="E53" s="38" t="n">
        <v>5</v>
      </c>
      <c r="F53" s="30" t="n">
        <v>50.46</v>
      </c>
      <c r="G53" s="30" t="n">
        <v>0.83</v>
      </c>
      <c r="H53" s="16" t="n">
        <v>9.9945024124</v>
      </c>
      <c r="I53" s="12" t="n">
        <f aca="false">H53</f>
        <v>9.9945024124</v>
      </c>
      <c r="J53" s="12" t="n">
        <f aca="false">10+LOG10(SIN(RADIANS(D53+E53/60+F53/3600)))</f>
        <v>9.99450241243689</v>
      </c>
      <c r="K53" s="25" t="n">
        <f aca="false">(I53-J53)*10000000000</f>
        <v>-0.368860497701462</v>
      </c>
      <c r="L53" s="39" t="s">
        <v>100</v>
      </c>
      <c r="N53" s="16" t="n">
        <v>4.2735244046</v>
      </c>
      <c r="O53" s="40" t="n">
        <f aca="false">O55+I53-I55</f>
        <v>4.2735244045</v>
      </c>
      <c r="P53" s="41" t="n">
        <f aca="false">IF(N53="","",(O53-N53)*10000000000)</f>
        <v>-1.00001784630877</v>
      </c>
      <c r="Q53" s="38" t="n">
        <v>0</v>
      </c>
      <c r="R53" s="12" t="n">
        <f aca="false">I53-COS(RADIANS(D53+E53/60+F53/3600))/SIN(RADIANS(D53+E53/60+F53/3600))*RADIANS(Q53/3600)/LN(10)</f>
        <v>9.9945024124</v>
      </c>
      <c r="S53" s="40" t="n">
        <f aca="false">S55+R53-R55</f>
        <v>4.2735244045</v>
      </c>
      <c r="T53" s="40" t="n">
        <f aca="false">T55+J53-J55</f>
        <v>4.27352440431509</v>
      </c>
      <c r="U53" s="42" t="n">
        <f aca="false">Summary!$C$6*ASIN(10^O53/Summary!$C$6)</f>
        <v>18772.7023577468</v>
      </c>
      <c r="V53" s="15" t="n">
        <v>18772.7024</v>
      </c>
      <c r="W53" s="43" t="n">
        <f aca="false">IF(V53="","",(V53-U53)*Summary!$C$7*1000)</f>
        <v>0.0823529820136814</v>
      </c>
      <c r="X53" s="44" t="n">
        <f aca="false">U53*Summary!$C$7</f>
        <v>36588.6838163576</v>
      </c>
      <c r="Y53" s="26" t="n">
        <f aca="false">(D53+D54+D55-180)*3600+(E53+E54+E55)*60+F53+F54+F55-(G53+G54+G55)</f>
        <v>1.02140518265514E-014</v>
      </c>
    </row>
    <row r="54" customFormat="false" ht="15" hidden="false" customHeight="false" outlineLevel="0" collapsed="false">
      <c r="A54" s="5" t="n">
        <v>17</v>
      </c>
      <c r="B54" s="5" t="s">
        <v>140</v>
      </c>
      <c r="C54" s="5" t="s">
        <v>143</v>
      </c>
      <c r="D54" s="38" t="n">
        <v>31</v>
      </c>
      <c r="E54" s="38" t="n">
        <v>49</v>
      </c>
      <c r="F54" s="30" t="n">
        <v>57.92</v>
      </c>
      <c r="G54" s="30" t="n">
        <v>0.3</v>
      </c>
      <c r="H54" s="16" t="n">
        <v>9.7221743686</v>
      </c>
      <c r="I54" s="12" t="n">
        <f aca="false">H54</f>
        <v>9.7221743686</v>
      </c>
      <c r="J54" s="12" t="n">
        <f aca="false">10+LOG10(SIN(RADIANS(D54+E54/60+F54/3600)))</f>
        <v>9.72217436902555</v>
      </c>
      <c r="K54" s="25" t="n">
        <f aca="false">(I54-J54)*10000000000</f>
        <v>-4.25547597160403</v>
      </c>
      <c r="L54" s="39" t="s">
        <v>100</v>
      </c>
      <c r="N54" s="16" t="n">
        <v>4.0011963609</v>
      </c>
      <c r="O54" s="40" t="n">
        <f aca="false">O55+I54-I55</f>
        <v>4.0011963607</v>
      </c>
      <c r="P54" s="41" t="n">
        <f aca="false">IF(N54="","",(O54-N54)*10000000000)</f>
        <v>-2.00001792904914</v>
      </c>
      <c r="Q54" s="38" t="n">
        <v>0</v>
      </c>
      <c r="R54" s="12" t="n">
        <f aca="false">I54-COS(RADIANS(D54+E54/60+F54/3600))/SIN(RADIANS(D54+E54/60+F54/3600))*RADIANS(Q54/3600)/LN(10)</f>
        <v>9.7221743686</v>
      </c>
      <c r="S54" s="40" t="n">
        <f aca="false">S55+R54-R55</f>
        <v>4.0011963607</v>
      </c>
      <c r="T54" s="40" t="n">
        <f aca="false">T55+J54-J55</f>
        <v>4.00119636090375</v>
      </c>
      <c r="U54" s="42" t="n">
        <f aca="false">Summary!$C$6*ASIN(10^O54/Summary!$C$6)</f>
        <v>10027.6009453788</v>
      </c>
      <c r="V54" s="15" t="n">
        <v>10027.601</v>
      </c>
      <c r="W54" s="43" t="n">
        <f aca="false">IF(V54="","",(V54-U54)*Summary!$C$7*1000)</f>
        <v>0.106458734270128</v>
      </c>
      <c r="X54" s="44" t="n">
        <f aca="false">U54*Summary!$C$7</f>
        <v>19544.1611673808</v>
      </c>
    </row>
    <row r="55" customFormat="false" ht="15" hidden="false" customHeight="false" outlineLevel="0" collapsed="false">
      <c r="A55" s="45" t="n">
        <v>17</v>
      </c>
      <c r="B55" s="45" t="s">
        <v>144</v>
      </c>
      <c r="C55" s="45" t="s">
        <v>141</v>
      </c>
      <c r="D55" s="46" t="n">
        <v>49</v>
      </c>
      <c r="E55" s="46" t="n">
        <v>4</v>
      </c>
      <c r="F55" s="47" t="n">
        <v>12.98</v>
      </c>
      <c r="G55" s="47" t="n">
        <v>0.23</v>
      </c>
      <c r="H55" s="48" t="n">
        <v>9.8782423189</v>
      </c>
      <c r="I55" s="49" t="n">
        <f aca="false">H55</f>
        <v>9.8782423189</v>
      </c>
      <c r="J55" s="49" t="n">
        <f aca="false">10+LOG10(SIN(RADIANS(D55+E55/60+F55/3600)))</f>
        <v>9.87824231909804</v>
      </c>
      <c r="K55" s="50" t="n">
        <f aca="false">(I55-J55)*10000000000</f>
        <v>-1.98038918597376</v>
      </c>
      <c r="L55" s="51" t="s">
        <v>103</v>
      </c>
      <c r="M55" s="51" t="n">
        <v>16</v>
      </c>
      <c r="N55" s="52"/>
      <c r="O55" s="52" t="n">
        <f aca="false">O52</f>
        <v>4.157264311</v>
      </c>
      <c r="P55" s="53"/>
      <c r="Q55" s="46" t="n">
        <v>0</v>
      </c>
      <c r="R55" s="49" t="n">
        <f aca="false">I55-COS(RADIANS(D55+E55/60+F55/3600))/SIN(RADIANS(D55+E55/60+F55/3600))*RADIANS(Q55/3600)/LN(10)</f>
        <v>9.8782423189</v>
      </c>
      <c r="S55" s="52" t="n">
        <f aca="false">S52</f>
        <v>4.157264311</v>
      </c>
      <c r="T55" s="52" t="n">
        <f aca="false">T52</f>
        <v>4.15726431097625</v>
      </c>
      <c r="U55" s="54"/>
      <c r="V55" s="54"/>
      <c r="W55" s="56"/>
      <c r="X55" s="57"/>
      <c r="Y55" s="51"/>
    </row>
    <row r="56" customFormat="false" ht="15" hidden="false" customHeight="false" outlineLevel="0" collapsed="false">
      <c r="A56" s="58" t="n">
        <v>18</v>
      </c>
      <c r="B56" s="58" t="s">
        <v>136</v>
      </c>
      <c r="C56" s="58" t="s">
        <v>145</v>
      </c>
      <c r="D56" s="59" t="n">
        <v>60</v>
      </c>
      <c r="E56" s="59" t="n">
        <v>20</v>
      </c>
      <c r="F56" s="60" t="n">
        <v>43.56</v>
      </c>
      <c r="G56" s="60" t="n">
        <v>0.24</v>
      </c>
      <c r="H56" s="61" t="n">
        <v>9.9390318309</v>
      </c>
      <c r="I56" s="62" t="n">
        <f aca="false">H56</f>
        <v>9.9390318309</v>
      </c>
      <c r="J56" s="62" t="n">
        <f aca="false">10+LOG10(SIN(RADIANS(D56+E56/60+F56/3600)))</f>
        <v>9.93903183099336</v>
      </c>
      <c r="K56" s="63" t="n">
        <f aca="false">(I56-J56)*10000000000</f>
        <v>-0.93359986408359</v>
      </c>
      <c r="L56" s="64" t="s">
        <v>100</v>
      </c>
      <c r="M56" s="64"/>
      <c r="N56" s="61" t="n">
        <v>3.9741772678</v>
      </c>
      <c r="O56" s="65" t="n">
        <f aca="false">O58+I56-I58</f>
        <v>3.9741772676</v>
      </c>
      <c r="P56" s="66" t="n">
        <f aca="false">IF(N56="","",(O56-N56)*10000000000)</f>
        <v>-2.00001792904914</v>
      </c>
      <c r="Q56" s="59" t="n">
        <v>0</v>
      </c>
      <c r="R56" s="62" t="n">
        <f aca="false">I56-COS(RADIANS(D56+E56/60+F56/3600))/SIN(RADIANS(D56+E56/60+F56/3600))*RADIANS(Q56/3600)/LN(10)</f>
        <v>9.9390318309</v>
      </c>
      <c r="S56" s="65" t="n">
        <f aca="false">S58+R56-R58</f>
        <v>3.9741772676</v>
      </c>
      <c r="T56" s="65" t="n">
        <f aca="false">T58+J56-J58</f>
        <v>3.9741772678671</v>
      </c>
      <c r="U56" s="67" t="n">
        <f aca="false">Summary!$C$6*ASIN(10^O56/Summary!$C$6)</f>
        <v>9422.7543600755</v>
      </c>
      <c r="V56" s="68" t="n">
        <v>9422.7544</v>
      </c>
      <c r="W56" s="69" t="n">
        <f aca="false">IF(V56="","",(V56-U56)*Summary!$C$7*1000)</f>
        <v>0.0778143185172896</v>
      </c>
      <c r="X56" s="70" t="n">
        <f aca="false">U56*Summary!$C$7</f>
        <v>18365.2930403882</v>
      </c>
      <c r="Y56" s="71" t="n">
        <f aca="false">(D56+D57+D58-180)*3600+(E56+E57+E58)*60+F56+F57+F58-(G56+G57+G58)</f>
        <v>0</v>
      </c>
    </row>
    <row r="57" customFormat="false" ht="15" hidden="false" customHeight="false" outlineLevel="0" collapsed="false">
      <c r="A57" s="58" t="n">
        <v>18</v>
      </c>
      <c r="B57" s="58" t="s">
        <v>144</v>
      </c>
      <c r="C57" s="58" t="s">
        <v>146</v>
      </c>
      <c r="D57" s="59" t="n">
        <v>52</v>
      </c>
      <c r="E57" s="59" t="n">
        <v>0</v>
      </c>
      <c r="F57" s="60" t="n">
        <v>56</v>
      </c>
      <c r="G57" s="60" t="n">
        <v>0.22</v>
      </c>
      <c r="H57" s="61" t="n">
        <v>9.8966242388</v>
      </c>
      <c r="I57" s="62" t="n">
        <f aca="false">H57</f>
        <v>9.8966242388</v>
      </c>
      <c r="J57" s="62" t="n">
        <f aca="false">10+LOG10(SIN(RADIANS(D57+E57/60+F57/3600)))</f>
        <v>9.89662423902694</v>
      </c>
      <c r="K57" s="63" t="n">
        <f aca="false">(I57-J57)*10000000000</f>
        <v>-2.26938468017579</v>
      </c>
      <c r="L57" s="64" t="s">
        <v>100</v>
      </c>
      <c r="M57" s="64"/>
      <c r="N57" s="61" t="n">
        <v>3.9317696757</v>
      </c>
      <c r="O57" s="65" t="n">
        <f aca="false">O58+I57-I58</f>
        <v>3.9317696755</v>
      </c>
      <c r="P57" s="66" t="n">
        <f aca="false">IF(N57="","",(O57-N57)*10000000000)</f>
        <v>-2.00001792904914</v>
      </c>
      <c r="Q57" s="59" t="n">
        <v>0</v>
      </c>
      <c r="R57" s="62" t="n">
        <f aca="false">I57-COS(RADIANS(D57+E57/60+F57/3600))/SIN(RADIANS(D57+E57/60+F57/3600))*RADIANS(Q57/3600)/LN(10)</f>
        <v>9.8966242388</v>
      </c>
      <c r="S57" s="65" t="n">
        <f aca="false">S58+R57-R58</f>
        <v>3.9317696755</v>
      </c>
      <c r="T57" s="65" t="n">
        <f aca="false">T58+J57-J58</f>
        <v>3.93176967590067</v>
      </c>
      <c r="U57" s="67" t="n">
        <f aca="false">Summary!$C$6*ASIN(10^O57/Summary!$C$6)</f>
        <v>8546.14330200925</v>
      </c>
      <c r="V57" s="68" t="n">
        <v>8546.1433</v>
      </c>
      <c r="W57" s="69" t="n">
        <f aca="false">IF(V57="","",(V57-U57)*Summary!$C$7*1000)</f>
        <v>-0.00391610578096193</v>
      </c>
      <c r="X57" s="70" t="n">
        <f aca="false">U57*Summary!$C$7</f>
        <v>16656.7460117143</v>
      </c>
      <c r="Y57" s="64"/>
    </row>
    <row r="58" customFormat="false" ht="15" hidden="false" customHeight="false" outlineLevel="0" collapsed="false">
      <c r="A58" s="72" t="n">
        <v>18</v>
      </c>
      <c r="B58" s="72" t="s">
        <v>147</v>
      </c>
      <c r="C58" s="72" t="s">
        <v>143</v>
      </c>
      <c r="D58" s="73" t="n">
        <v>67</v>
      </c>
      <c r="E58" s="73" t="n">
        <v>38</v>
      </c>
      <c r="F58" s="74" t="n">
        <v>21.16</v>
      </c>
      <c r="G58" s="74" t="n">
        <v>0.26</v>
      </c>
      <c r="H58" s="75" t="n">
        <v>9.966050924</v>
      </c>
      <c r="I58" s="76" t="n">
        <f aca="false">H58</f>
        <v>9.966050924</v>
      </c>
      <c r="J58" s="76" t="n">
        <f aca="false">10+LOG10(SIN(RADIANS(D58+E58/60+F58/3600)))</f>
        <v>9.96605092403002</v>
      </c>
      <c r="K58" s="77" t="n">
        <f aca="false">(I58-J58)*10000000000</f>
        <v>-0.300186542290248</v>
      </c>
      <c r="L58" s="78" t="s">
        <v>103</v>
      </c>
      <c r="M58" s="78" t="n">
        <v>17</v>
      </c>
      <c r="N58" s="79"/>
      <c r="O58" s="79" t="n">
        <f aca="false">O54</f>
        <v>4.0011963607</v>
      </c>
      <c r="P58" s="80"/>
      <c r="Q58" s="73" t="n">
        <v>0</v>
      </c>
      <c r="R58" s="76" t="n">
        <f aca="false">I58-COS(RADIANS(D58+E58/60+F58/3600))/SIN(RADIANS(D58+E58/60+F58/3600))*RADIANS(Q58/3600)/LN(10)</f>
        <v>9.966050924</v>
      </c>
      <c r="S58" s="79" t="n">
        <f aca="false">S54</f>
        <v>4.0011963607</v>
      </c>
      <c r="T58" s="79" t="n">
        <f aca="false">T54</f>
        <v>4.00119636090375</v>
      </c>
      <c r="U58" s="81"/>
      <c r="V58" s="81"/>
      <c r="W58" s="82"/>
      <c r="X58" s="83"/>
      <c r="Y58" s="78"/>
    </row>
    <row r="59" customFormat="false" ht="15" hidden="false" customHeight="false" outlineLevel="0" collapsed="false">
      <c r="A59" s="5" t="n">
        <v>19</v>
      </c>
      <c r="B59" s="5" t="s">
        <v>130</v>
      </c>
      <c r="C59" s="5" t="s">
        <v>148</v>
      </c>
      <c r="D59" s="38" t="n">
        <v>52</v>
      </c>
      <c r="E59" s="38" t="n">
        <v>5</v>
      </c>
      <c r="F59" s="30" t="n">
        <v>17.43</v>
      </c>
      <c r="G59" s="30" t="n">
        <v>0.19</v>
      </c>
      <c r="H59" s="16" t="n">
        <v>9.8970534925</v>
      </c>
      <c r="I59" s="12" t="n">
        <f aca="false">H59</f>
        <v>9.8970534925</v>
      </c>
      <c r="J59" s="12" t="n">
        <f aca="false">10+LOG10(SIN(RADIANS(D59+E59/60+F59/3600)))</f>
        <v>9.89705349269138</v>
      </c>
      <c r="K59" s="25" t="n">
        <f aca="false">(I59-J59)*10000000000</f>
        <v>-1.91379356806465</v>
      </c>
      <c r="L59" s="39" t="s">
        <v>100</v>
      </c>
      <c r="N59" s="16" t="n">
        <v>4.0924144426</v>
      </c>
      <c r="O59" s="40" t="n">
        <f aca="false">O61+I59-I61</f>
        <v>4.0924144425</v>
      </c>
      <c r="P59" s="41" t="n">
        <f aca="false">IF(N59="","",(O59-N59)*10000000000)</f>
        <v>-0.999991200956174</v>
      </c>
      <c r="Q59" s="38" t="n">
        <v>0</v>
      </c>
      <c r="R59" s="12" t="n">
        <f aca="false">I59-COS(RADIANS(D59+E59/60+F59/3600))/SIN(RADIANS(D59+E59/60+F59/3600))*RADIANS(Q59/3600)/LN(10)</f>
        <v>9.8970534925</v>
      </c>
      <c r="S59" s="40" t="n">
        <f aca="false">S61+R59-R61</f>
        <v>4.0924144425</v>
      </c>
      <c r="T59" s="40" t="n">
        <f aca="false">T61+J59-J61</f>
        <v>4.0924144427626</v>
      </c>
      <c r="U59" s="42" t="n">
        <f aca="false">Summary!$C$6*ASIN(10^O59/Summary!$C$6)</f>
        <v>12371.304042017</v>
      </c>
      <c r="V59" s="15" t="n">
        <v>12371.3041</v>
      </c>
      <c r="W59" s="43" t="n">
        <f aca="false">IF(V59="","",(V59-U59)*Summary!$C$7*1000)</f>
        <v>0.113010983874473</v>
      </c>
      <c r="X59" s="44" t="n">
        <f aca="false">U59*Summary!$C$7</f>
        <v>24112.1242623119</v>
      </c>
      <c r="Y59" s="26" t="n">
        <f aca="false">(D59+D60+D61-180)*3600+(E59+E60+E61)*60+F59+F60+F61-(G59+G60+G61)</f>
        <v>3.66373598126302E-015</v>
      </c>
    </row>
    <row r="60" customFormat="false" ht="15" hidden="false" customHeight="false" outlineLevel="0" collapsed="false">
      <c r="A60" s="5" t="n">
        <v>19</v>
      </c>
      <c r="B60" s="5" t="s">
        <v>134</v>
      </c>
      <c r="C60" s="5" t="s">
        <v>149</v>
      </c>
      <c r="D60" s="38" t="n">
        <v>98</v>
      </c>
      <c r="E60" s="38" t="n">
        <v>8</v>
      </c>
      <c r="F60" s="30" t="n">
        <v>55.18</v>
      </c>
      <c r="G60" s="30" t="n">
        <v>0.55</v>
      </c>
      <c r="H60" s="16" t="n">
        <v>9.9955929183</v>
      </c>
      <c r="I60" s="12" t="n">
        <f aca="false">H60</f>
        <v>9.9955929183</v>
      </c>
      <c r="J60" s="12" t="n">
        <f aca="false">10+LOG10(SIN(RADIANS(D60+E60/60+F60/3600)))</f>
        <v>9.99559291846355</v>
      </c>
      <c r="K60" s="25" t="n">
        <f aca="false">(I60-J60)*10000000000</f>
        <v>-1.63547397846742</v>
      </c>
      <c r="L60" s="39" t="s">
        <v>100</v>
      </c>
      <c r="N60" s="16" t="n">
        <v>4.1909538685</v>
      </c>
      <c r="O60" s="40" t="n">
        <f aca="false">O61+I60-I61</f>
        <v>4.1909538683</v>
      </c>
      <c r="P60" s="41" t="n">
        <f aca="false">IF(N60="","",(O60-N60)*10000000000)</f>
        <v>-1.99999128369655</v>
      </c>
      <c r="Q60" s="38" t="n">
        <v>0</v>
      </c>
      <c r="R60" s="12" t="n">
        <f aca="false">I60-COS(RADIANS(D60+E60/60+F60/3600))/SIN(RADIANS(D60+E60/60+F60/3600))*RADIANS(Q60/3600)/LN(10)</f>
        <v>9.9955929183</v>
      </c>
      <c r="S60" s="40" t="n">
        <f aca="false">S61+R60-R61</f>
        <v>4.1909538683</v>
      </c>
      <c r="T60" s="40" t="n">
        <f aca="false">T61+J60-J61</f>
        <v>4.19095386853477</v>
      </c>
      <c r="U60" s="42" t="n">
        <f aca="false">Summary!$C$6*ASIN(10^O60/Summary!$C$6)</f>
        <v>15522.2796083694</v>
      </c>
      <c r="V60" s="15" t="n">
        <v>15522.2796</v>
      </c>
      <c r="W60" s="43" t="n">
        <f aca="false">IF(V60="","",(V60-U60)*Summary!$C$7*1000)</f>
        <v>-0.0163123543861013</v>
      </c>
      <c r="X60" s="44" t="n">
        <f aca="false">U60*Summary!$C$7</f>
        <v>30253.4909400168</v>
      </c>
    </row>
    <row r="61" customFormat="false" ht="15" hidden="false" customHeight="false" outlineLevel="0" collapsed="false">
      <c r="A61" s="45" t="n">
        <v>19</v>
      </c>
      <c r="B61" s="45" t="s">
        <v>150</v>
      </c>
      <c r="C61" s="45" t="s">
        <v>132</v>
      </c>
      <c r="D61" s="46" t="n">
        <v>29</v>
      </c>
      <c r="E61" s="46" t="n">
        <v>45</v>
      </c>
      <c r="F61" s="47" t="n">
        <v>48.3</v>
      </c>
      <c r="G61" s="47" t="n">
        <v>0.17</v>
      </c>
      <c r="H61" s="48" t="n">
        <v>9.6958490878</v>
      </c>
      <c r="I61" s="49" t="n">
        <f aca="false">H61</f>
        <v>9.6958490878</v>
      </c>
      <c r="J61" s="49" t="n">
        <f aca="false">10+LOG10(SIN(RADIANS(D61+E61/60+F61/3600)))</f>
        <v>9.69584908813766</v>
      </c>
      <c r="K61" s="50" t="n">
        <f aca="false">(I61-J61)*10000000000</f>
        <v>-3.37660566174236</v>
      </c>
      <c r="L61" s="51" t="s">
        <v>103</v>
      </c>
      <c r="M61" s="51" t="n">
        <v>14</v>
      </c>
      <c r="N61" s="52"/>
      <c r="O61" s="52" t="n">
        <f aca="false">O44</f>
        <v>3.8912100378</v>
      </c>
      <c r="P61" s="53"/>
      <c r="Q61" s="46" t="n">
        <v>0</v>
      </c>
      <c r="R61" s="49" t="n">
        <f aca="false">I61-COS(RADIANS(D61+E61/60+F61/3600))/SIN(RADIANS(D61+E61/60+F61/3600))*RADIANS(Q61/3600)/LN(10)</f>
        <v>9.6958490878</v>
      </c>
      <c r="S61" s="52" t="n">
        <f aca="false">S44</f>
        <v>3.8912100378</v>
      </c>
      <c r="T61" s="52" t="n">
        <f aca="false">T44</f>
        <v>3.89121003820888</v>
      </c>
      <c r="U61" s="54"/>
      <c r="V61" s="54"/>
      <c r="W61" s="56"/>
      <c r="X61" s="57"/>
      <c r="Y61" s="51"/>
    </row>
    <row r="62" customFormat="false" ht="15" hidden="false" customHeight="false" outlineLevel="0" collapsed="false">
      <c r="A62" s="58" t="n">
        <v>20</v>
      </c>
      <c r="B62" s="58" t="s">
        <v>134</v>
      </c>
      <c r="C62" s="58" t="s">
        <v>151</v>
      </c>
      <c r="D62" s="59" t="n">
        <v>19</v>
      </c>
      <c r="E62" s="59" t="n">
        <v>15</v>
      </c>
      <c r="F62" s="60" t="n">
        <v>24.14</v>
      </c>
      <c r="G62" s="60" t="n">
        <v>0.13</v>
      </c>
      <c r="H62" s="61" t="n">
        <v>9.5182521427</v>
      </c>
      <c r="I62" s="62" t="n">
        <f aca="false">H62</f>
        <v>9.5182521427</v>
      </c>
      <c r="J62" s="62" t="n">
        <f aca="false">10+LOG10(SIN(RADIANS(D62+E62/60+F62/3600)))</f>
        <v>9.51825214399954</v>
      </c>
      <c r="K62" s="63" t="n">
        <f aca="false">(I62-J62)*10000000000</f>
        <v>-12.9953825478424</v>
      </c>
      <c r="L62" s="64" t="s">
        <v>100</v>
      </c>
      <c r="M62" s="64"/>
      <c r="N62" s="61" t="n">
        <v>3.6162417499</v>
      </c>
      <c r="O62" s="65" t="n">
        <f aca="false">O64+I62-I64</f>
        <v>3.6162417497</v>
      </c>
      <c r="P62" s="66" t="n">
        <f aca="false">IF(N62="","",(O62-N62)*10000000000)</f>
        <v>-1.99999572458864</v>
      </c>
      <c r="Q62" s="59" t="n">
        <v>0</v>
      </c>
      <c r="R62" s="62" t="n">
        <f aca="false">I62-COS(RADIANS(D62+E62/60+F62/3600))/SIN(RADIANS(D62+E62/60+F62/3600))*RADIANS(Q62/3600)/LN(10)</f>
        <v>9.5182521427</v>
      </c>
      <c r="S62" s="65" t="n">
        <f aca="false">S64+R62-R64</f>
        <v>3.6162417497</v>
      </c>
      <c r="T62" s="65" t="n">
        <f aca="false">T64+J62-J64</f>
        <v>3.6162417512151</v>
      </c>
      <c r="U62" s="67" t="n">
        <f aca="false">Summary!$C$6*ASIN(10^O62/Summary!$C$6)</f>
        <v>4132.77598803213</v>
      </c>
      <c r="V62" s="68" t="n">
        <v>4132.7761</v>
      </c>
      <c r="W62" s="69" t="n">
        <f aca="false">IF(V62="","",(V62-U62)*Summary!$C$7*1000)</f>
        <v>0.218229473924212</v>
      </c>
      <c r="X62" s="70" t="n">
        <f aca="false">U62*Summary!$C$7</f>
        <v>8054.93162509672</v>
      </c>
      <c r="Y62" s="71" t="n">
        <f aca="false">(D62+D63+D64-180)*3600+(E62+E63+E64)*60+F62+F63+F64-(G62+G63+G64)</f>
        <v>1.99840144432528E-015</v>
      </c>
    </row>
    <row r="63" customFormat="false" ht="15" hidden="false" customHeight="false" outlineLevel="0" collapsed="false">
      <c r="A63" s="58" t="n">
        <v>20</v>
      </c>
      <c r="B63" s="58" t="s">
        <v>150</v>
      </c>
      <c r="C63" s="58" t="s">
        <v>138</v>
      </c>
      <c r="D63" s="59" t="n">
        <v>79</v>
      </c>
      <c r="E63" s="59" t="n">
        <v>54</v>
      </c>
      <c r="F63" s="60" t="n">
        <v>16.09</v>
      </c>
      <c r="G63" s="60" t="n">
        <v>0.18</v>
      </c>
      <c r="H63" s="61" t="n">
        <v>9.9932231563</v>
      </c>
      <c r="I63" s="62" t="n">
        <f aca="false">H63</f>
        <v>9.9932231563</v>
      </c>
      <c r="J63" s="62" t="n">
        <f aca="false">10+LOG10(SIN(RADIANS(D63+E63/60+F63/3600)))</f>
        <v>9.99322315645279</v>
      </c>
      <c r="K63" s="63" t="n">
        <f aca="false">(I63-J63)*10000000000</f>
        <v>-1.52789780827334</v>
      </c>
      <c r="L63" s="64" t="s">
        <v>100</v>
      </c>
      <c r="M63" s="64"/>
      <c r="N63" s="61" t="n">
        <v>4.0912127635</v>
      </c>
      <c r="O63" s="65" t="n">
        <f aca="false">O64+I63-I64</f>
        <v>4.0912127633</v>
      </c>
      <c r="P63" s="66" t="n">
        <f aca="false">IF(N63="","",(O63-N63)*10000000000)</f>
        <v>-2.00000016548074</v>
      </c>
      <c r="Q63" s="59" t="n">
        <v>0</v>
      </c>
      <c r="R63" s="62" t="n">
        <f aca="false">I63-COS(RADIANS(D63+E63/60+F63/3600))/SIN(RADIANS(D63+E63/60+F63/3600))*RADIANS(Q63/3600)/LN(10)</f>
        <v>9.9932231563</v>
      </c>
      <c r="S63" s="65" t="n">
        <f aca="false">S64+R63-R64</f>
        <v>4.0912127633</v>
      </c>
      <c r="T63" s="65" t="n">
        <f aca="false">T64+J63-J64</f>
        <v>4.09121276366835</v>
      </c>
      <c r="U63" s="67" t="n">
        <f aca="false">Summary!$C$6*ASIN(10^O63/Summary!$C$6)</f>
        <v>12337.1201837374</v>
      </c>
      <c r="V63" s="68" t="n">
        <v>12337.1202</v>
      </c>
      <c r="W63" s="69" t="n">
        <f aca="false">IF(V63="","",(V63-U63)*Summary!$C$7*1000)</f>
        <v>0.0316963248349408</v>
      </c>
      <c r="X63" s="70" t="n">
        <f aca="false">U63*Summary!$C$7</f>
        <v>24045.4986716868</v>
      </c>
      <c r="Y63" s="64"/>
    </row>
    <row r="64" customFormat="false" ht="15" hidden="false" customHeight="false" outlineLevel="0" collapsed="false">
      <c r="A64" s="72" t="n">
        <v>20</v>
      </c>
      <c r="B64" s="72" t="s">
        <v>136</v>
      </c>
      <c r="C64" s="72" t="s">
        <v>148</v>
      </c>
      <c r="D64" s="73" t="n">
        <v>80</v>
      </c>
      <c r="E64" s="73" t="n">
        <v>50</v>
      </c>
      <c r="F64" s="74" t="n">
        <v>20.26</v>
      </c>
      <c r="G64" s="74" t="n">
        <v>0.18</v>
      </c>
      <c r="H64" s="75" t="n">
        <v>9.9944248355</v>
      </c>
      <c r="I64" s="76" t="n">
        <f aca="false">H64</f>
        <v>9.9944248355</v>
      </c>
      <c r="J64" s="76" t="n">
        <f aca="false">10+LOG10(SIN(RADIANS(D64+E64/60+F64/3600)))</f>
        <v>9.99442483554704</v>
      </c>
      <c r="K64" s="77" t="n">
        <f aca="false">(I64-J64)*10000000000</f>
        <v>-0.470343763936398</v>
      </c>
      <c r="L64" s="78" t="s">
        <v>103</v>
      </c>
      <c r="M64" s="78" t="n">
        <v>19</v>
      </c>
      <c r="N64" s="79"/>
      <c r="O64" s="79" t="n">
        <f aca="false">O59</f>
        <v>4.0924144425</v>
      </c>
      <c r="P64" s="80"/>
      <c r="Q64" s="73" t="n">
        <v>0</v>
      </c>
      <c r="R64" s="76" t="n">
        <f aca="false">I64-COS(RADIANS(D64+E64/60+F64/3600))/SIN(RADIANS(D64+E64/60+F64/3600))*RADIANS(Q64/3600)/LN(10)</f>
        <v>9.9944248355</v>
      </c>
      <c r="S64" s="79" t="n">
        <f aca="false">S59</f>
        <v>4.0924144425</v>
      </c>
      <c r="T64" s="79" t="n">
        <f aca="false">T59</f>
        <v>4.0924144427626</v>
      </c>
      <c r="U64" s="81"/>
      <c r="V64" s="81"/>
      <c r="W64" s="82"/>
      <c r="X64" s="83"/>
      <c r="Y64" s="78"/>
    </row>
    <row r="65" customFormat="false" ht="15" hidden="false" customHeight="false" outlineLevel="0" collapsed="false">
      <c r="A65" s="5" t="n">
        <v>21</v>
      </c>
      <c r="B65" s="5" t="s">
        <v>150</v>
      </c>
      <c r="C65" s="5" t="s">
        <v>146</v>
      </c>
      <c r="D65" s="38" t="n">
        <v>102</v>
      </c>
      <c r="E65" s="38" t="n">
        <v>20</v>
      </c>
      <c r="F65" s="30" t="n">
        <v>57.9</v>
      </c>
      <c r="G65" s="30" t="n">
        <v>0.15</v>
      </c>
      <c r="H65" s="16" t="n">
        <v>9.9898329827</v>
      </c>
      <c r="I65" s="12" t="n">
        <f aca="false">H65</f>
        <v>9.9898329827</v>
      </c>
      <c r="J65" s="12" t="n">
        <f aca="false">10+LOG10(SIN(RADIANS(D65+E65/60+F65/3600)))</f>
        <v>9.98983298282119</v>
      </c>
      <c r="K65" s="25" t="n">
        <f aca="false">(I65-J65)*10000000000</f>
        <v>-1.21188392654403</v>
      </c>
      <c r="L65" s="39" t="s">
        <v>100</v>
      </c>
      <c r="N65" s="16" t="n">
        <v>3.9317553605</v>
      </c>
      <c r="O65" s="40" t="n">
        <f aca="false">O67+I65-I67</f>
        <v>3.9317553603</v>
      </c>
      <c r="P65" s="41" t="n">
        <f aca="false">IF(N65="","",(O65-N65)*10000000000)</f>
        <v>-1.99999572458864</v>
      </c>
      <c r="Q65" s="38" t="n">
        <v>0</v>
      </c>
      <c r="R65" s="12" t="n">
        <f aca="false">I65-COS(RADIANS(D65+E65/60+F65/3600))/SIN(RADIANS(D65+E65/60+F65/3600))*RADIANS(Q65/3600)/LN(10)</f>
        <v>9.9898329827</v>
      </c>
      <c r="S65" s="40" t="n">
        <f aca="false">S67+R65-R67</f>
        <v>3.9317553603</v>
      </c>
      <c r="T65" s="40" t="n">
        <f aca="false">T67+J65-J67</f>
        <v>3.93175536142828</v>
      </c>
      <c r="U65" s="42" t="n">
        <f aca="false">Summary!$C$6*ASIN(10^O65/Summary!$C$6)</f>
        <v>8545.86160832339</v>
      </c>
      <c r="V65" s="15" t="n">
        <v>8545.8617</v>
      </c>
      <c r="W65" s="43" t="n">
        <f aca="false">IF(V65="","",(V65-U65)*Summary!$C$7*1000)</f>
        <v>0.17868106979556</v>
      </c>
      <c r="X65" s="44" t="n">
        <f aca="false">U65*Summary!$C$7</f>
        <v>16656.196980413</v>
      </c>
      <c r="Y65" s="26" t="n">
        <f aca="false">(D65+D66+D67-180)*3600+(E65+E66+E67)*60+F65+F66+F67-(G65+G66+G67)</f>
        <v>-5.55111512312578E-015</v>
      </c>
    </row>
    <row r="66" customFormat="false" ht="15" hidden="false" customHeight="false" outlineLevel="0" collapsed="false">
      <c r="A66" s="5" t="n">
        <v>21</v>
      </c>
      <c r="B66" s="5" t="s">
        <v>136</v>
      </c>
      <c r="C66" s="5" t="s">
        <v>152</v>
      </c>
      <c r="D66" s="38" t="n">
        <v>49</v>
      </c>
      <c r="E66" s="38" t="n">
        <v>27</v>
      </c>
      <c r="F66" s="30" t="n">
        <v>35.23</v>
      </c>
      <c r="G66" s="30" t="n">
        <v>0.04</v>
      </c>
      <c r="H66" s="16" t="n">
        <v>9.8807849926</v>
      </c>
      <c r="I66" s="12" t="n">
        <f aca="false">H66</f>
        <v>9.8807849926</v>
      </c>
      <c r="J66" s="12" t="n">
        <f aca="false">10+LOG10(SIN(RADIANS(D66+E66/60+F66/3600)))</f>
        <v>9.88078499284266</v>
      </c>
      <c r="K66" s="25" t="n">
        <f aca="false">(I66-J66)*10000000000</f>
        <v>-2.42661002403111</v>
      </c>
      <c r="L66" s="39" t="s">
        <v>100</v>
      </c>
      <c r="N66" s="16" t="n">
        <v>3.8227073703</v>
      </c>
      <c r="O66" s="40" t="n">
        <f aca="false">O67+I66-I67</f>
        <v>3.8227073702</v>
      </c>
      <c r="P66" s="41" t="n">
        <f aca="false">IF(N66="","",(O66-N66)*10000000000)</f>
        <v>-0.999982319171977</v>
      </c>
      <c r="Q66" s="38" t="n">
        <v>0</v>
      </c>
      <c r="R66" s="12" t="n">
        <f aca="false">I66-COS(RADIANS(D66+E66/60+F66/3600))/SIN(RADIANS(D66+E66/60+F66/3600))*RADIANS(Q66/3600)/LN(10)</f>
        <v>9.8807849926</v>
      </c>
      <c r="S66" s="40" t="n">
        <f aca="false">S67+R66-R67</f>
        <v>3.8227073702</v>
      </c>
      <c r="T66" s="40" t="n">
        <f aca="false">T67+J66-J67</f>
        <v>3.82270737144975</v>
      </c>
      <c r="U66" s="42" t="n">
        <f aca="false">Summary!$C$6*ASIN(10^O66/Summary!$C$6)</f>
        <v>6648.25501651383</v>
      </c>
      <c r="V66" s="15" t="n">
        <v>6648.255</v>
      </c>
      <c r="W66" s="43" t="n">
        <f aca="false">IF(V66="","",(V66-U66)*Summary!$C$7*1000)</f>
        <v>-0.0321860481152178</v>
      </c>
      <c r="X66" s="44" t="n">
        <f aca="false">U66*Summary!$C$7</f>
        <v>12957.6922967277</v>
      </c>
    </row>
    <row r="67" customFormat="false" ht="15" hidden="false" customHeight="false" outlineLevel="0" collapsed="false">
      <c r="A67" s="45" t="n">
        <v>21</v>
      </c>
      <c r="B67" s="45" t="s">
        <v>147</v>
      </c>
      <c r="C67" s="45" t="s">
        <v>151</v>
      </c>
      <c r="D67" s="46" t="n">
        <v>28</v>
      </c>
      <c r="E67" s="46" t="n">
        <v>11</v>
      </c>
      <c r="F67" s="47" t="n">
        <v>27.13</v>
      </c>
      <c r="G67" s="47" t="n">
        <v>0.07</v>
      </c>
      <c r="H67" s="48" t="n">
        <v>9.6743193721</v>
      </c>
      <c r="I67" s="49" t="n">
        <f aca="false">H67</f>
        <v>9.6743193721</v>
      </c>
      <c r="J67" s="49" t="n">
        <f aca="false">10+LOG10(SIN(RADIANS(D67+E67/60+F67/3600)))</f>
        <v>9.67431937260801</v>
      </c>
      <c r="K67" s="50" t="n">
        <f aca="false">(I67-J67)*10000000000</f>
        <v>-5.08011410715881</v>
      </c>
      <c r="L67" s="51" t="s">
        <v>103</v>
      </c>
      <c r="M67" s="51" t="n">
        <v>20</v>
      </c>
      <c r="N67" s="52"/>
      <c r="O67" s="52" t="n">
        <f aca="false">O62</f>
        <v>3.6162417497</v>
      </c>
      <c r="P67" s="53"/>
      <c r="Q67" s="46" t="n">
        <v>0</v>
      </c>
      <c r="R67" s="49" t="n">
        <f aca="false">I67-COS(RADIANS(D67+E67/60+F67/3600))/SIN(RADIANS(D67+E67/60+F67/3600))*RADIANS(Q67/3600)/LN(10)</f>
        <v>9.6743193721</v>
      </c>
      <c r="S67" s="52" t="n">
        <f aca="false">S62</f>
        <v>3.6162417497</v>
      </c>
      <c r="T67" s="52" t="n">
        <f aca="false">T62</f>
        <v>3.6162417512151</v>
      </c>
      <c r="U67" s="54"/>
      <c r="V67" s="54"/>
      <c r="W67" s="56"/>
      <c r="X67" s="57"/>
      <c r="Y67" s="51"/>
    </row>
    <row r="68" customFormat="false" ht="15" hidden="false" customHeight="false" outlineLevel="0" collapsed="false">
      <c r="A68" s="58" t="n">
        <v>22</v>
      </c>
      <c r="B68" s="58" t="s">
        <v>136</v>
      </c>
      <c r="C68" s="58" t="s">
        <v>153</v>
      </c>
      <c r="D68" s="59" t="n">
        <v>75</v>
      </c>
      <c r="E68" s="59" t="n">
        <v>1</v>
      </c>
      <c r="F68" s="60" t="n">
        <v>3.02</v>
      </c>
      <c r="G68" s="60" t="n">
        <v>0.3</v>
      </c>
      <c r="H68" s="61" t="n">
        <v>9.9849793103</v>
      </c>
      <c r="I68" s="62" t="n">
        <f aca="false">H68</f>
        <v>9.9849793103</v>
      </c>
      <c r="J68" s="62" t="n">
        <f aca="false">10+LOG10(SIN(RADIANS(D68+E68/60+F68/3600)))</f>
        <v>9.98497931050603</v>
      </c>
      <c r="K68" s="63" t="n">
        <f aca="false">(I68-J68)*10000000000</f>
        <v>-2.06030748017838</v>
      </c>
      <c r="L68" s="64" t="s">
        <v>100</v>
      </c>
      <c r="M68" s="64"/>
      <c r="N68" s="61" t="n">
        <v>4.0463431811</v>
      </c>
      <c r="O68" s="65" t="n">
        <f aca="false">O70+I68-I70</f>
        <v>4.0463431808</v>
      </c>
      <c r="P68" s="66" t="n">
        <f aca="false">IF(N68="","",(O68-N68)*10000000000)</f>
        <v>-3.0000268935737</v>
      </c>
      <c r="Q68" s="59" t="n">
        <v>0</v>
      </c>
      <c r="R68" s="62" t="n">
        <f aca="false">I68-COS(RADIANS(D68+E68/60+F68/3600))/SIN(RADIANS(D68+E68/60+F68/3600))*RADIANS(Q68/3600)/LN(10)</f>
        <v>9.9849793103</v>
      </c>
      <c r="S68" s="65" t="n">
        <f aca="false">S70+R68-R70</f>
        <v>4.0463431808</v>
      </c>
      <c r="T68" s="65" t="n">
        <f aca="false">T70+J68-J70</f>
        <v>4.04634318112916</v>
      </c>
      <c r="U68" s="67" t="n">
        <f aca="false">Summary!$C$6*ASIN(10^O68/Summary!$C$6)</f>
        <v>11126.1271891207</v>
      </c>
      <c r="V68" s="68" t="n">
        <v>11126.1272</v>
      </c>
      <c r="W68" s="69" t="n">
        <f aca="false">IF(V68="","",(V68-U68)*Summary!$C$7*1000)</f>
        <v>0.0212041522793727</v>
      </c>
      <c r="X68" s="70" t="n">
        <f aca="false">U68*Summary!$C$7</f>
        <v>21685.2290131434</v>
      </c>
      <c r="Y68" s="71" t="n">
        <f aca="false">(D68+D69+D70-180)*3600+(E68+E69+E70)*60+F68+F69+F70-(G68+G69+G70)</f>
        <v>3.10862446895044E-015</v>
      </c>
    </row>
    <row r="69" customFormat="false" ht="15" hidden="false" customHeight="false" outlineLevel="0" collapsed="false">
      <c r="A69" s="58" t="n">
        <v>22</v>
      </c>
      <c r="B69" s="58" t="s">
        <v>144</v>
      </c>
      <c r="C69" s="58" t="s">
        <v>154</v>
      </c>
      <c r="D69" s="59" t="n">
        <v>44</v>
      </c>
      <c r="E69" s="59" t="n">
        <v>27</v>
      </c>
      <c r="F69" s="60" t="n">
        <v>3.75</v>
      </c>
      <c r="G69" s="60" t="n">
        <v>0.22</v>
      </c>
      <c r="H69" s="61" t="n">
        <v>9.8452838454</v>
      </c>
      <c r="I69" s="62" t="n">
        <f aca="false">H69</f>
        <v>9.8452838454</v>
      </c>
      <c r="J69" s="62" t="n">
        <f aca="false">10+LOG10(SIN(RADIANS(D69+E69/60+F69/3600)))</f>
        <v>9.84528384561285</v>
      </c>
      <c r="K69" s="63" t="n">
        <f aca="false">(I69-J69)*10000000000</f>
        <v>-2.12853734637974</v>
      </c>
      <c r="L69" s="64" t="s">
        <v>100</v>
      </c>
      <c r="M69" s="64"/>
      <c r="N69" s="61" t="n">
        <v>3.9066477161</v>
      </c>
      <c r="O69" s="65" t="n">
        <f aca="false">O70+I69-I70</f>
        <v>3.9066477159</v>
      </c>
      <c r="P69" s="66" t="n">
        <f aca="false">IF(N69="","",(O69-N69)*10000000000)</f>
        <v>-2.00003569261753</v>
      </c>
      <c r="Q69" s="59" t="n">
        <v>0</v>
      </c>
      <c r="R69" s="62" t="n">
        <f aca="false">I69-COS(RADIANS(D69+E69/60+F69/3600))/SIN(RADIANS(D69+E69/60+F69/3600))*RADIANS(Q69/3600)/LN(10)</f>
        <v>9.8452838454</v>
      </c>
      <c r="S69" s="65" t="n">
        <f aca="false">S70+R69-R70</f>
        <v>3.9066477159</v>
      </c>
      <c r="T69" s="65" t="n">
        <f aca="false">T70+J69-J70</f>
        <v>3.90664771623599</v>
      </c>
      <c r="U69" s="67" t="n">
        <f aca="false">Summary!$C$6*ASIN(10^O69/Summary!$C$6)</f>
        <v>8065.81315056722</v>
      </c>
      <c r="V69" s="68" t="n">
        <v>8065.8132</v>
      </c>
      <c r="W69" s="69" t="n">
        <f aca="false">IF(V69="","",(V69-U69)*Summary!$C$7*1000)</f>
        <v>0.0963462998693501</v>
      </c>
      <c r="X69" s="70" t="n">
        <f aca="false">U69*Summary!$C$7</f>
        <v>15720.5649705589</v>
      </c>
      <c r="Y69" s="64"/>
    </row>
    <row r="70" customFormat="false" ht="15" hidden="false" customHeight="false" outlineLevel="0" collapsed="false">
      <c r="A70" s="72" t="n">
        <v>22</v>
      </c>
      <c r="B70" s="72" t="s">
        <v>155</v>
      </c>
      <c r="C70" s="72" t="s">
        <v>143</v>
      </c>
      <c r="D70" s="73" t="n">
        <v>60</v>
      </c>
      <c r="E70" s="73" t="n">
        <v>31</v>
      </c>
      <c r="F70" s="74" t="n">
        <v>54</v>
      </c>
      <c r="G70" s="74" t="n">
        <v>0.25</v>
      </c>
      <c r="H70" s="75" t="n">
        <v>9.9398324902</v>
      </c>
      <c r="I70" s="76" t="n">
        <f aca="false">H70</f>
        <v>9.9398324902</v>
      </c>
      <c r="J70" s="76" t="n">
        <f aca="false">10+LOG10(SIN(RADIANS(D70+E70/60+F70/3600)))</f>
        <v>9.93983249028062</v>
      </c>
      <c r="K70" s="77" t="n">
        <f aca="false">(I70-J70)*10000000000</f>
        <v>-0.806199551561804</v>
      </c>
      <c r="L70" s="78" t="s">
        <v>103</v>
      </c>
      <c r="M70" s="78" t="n">
        <v>17</v>
      </c>
      <c r="N70" s="79"/>
      <c r="O70" s="79" t="n">
        <f aca="false">O54</f>
        <v>4.0011963607</v>
      </c>
      <c r="P70" s="80"/>
      <c r="Q70" s="73" t="n">
        <v>0</v>
      </c>
      <c r="R70" s="76" t="n">
        <f aca="false">I70-COS(RADIANS(D70+E70/60+F70/3600))/SIN(RADIANS(D70+E70/60+F70/3600))*RADIANS(Q70/3600)/LN(10)</f>
        <v>9.9398324902</v>
      </c>
      <c r="S70" s="79" t="n">
        <f aca="false">S54</f>
        <v>4.0011963607</v>
      </c>
      <c r="T70" s="79" t="n">
        <f aca="false">T54</f>
        <v>4.00119636090375</v>
      </c>
      <c r="U70" s="81"/>
      <c r="V70" s="81"/>
      <c r="W70" s="82"/>
      <c r="X70" s="83"/>
      <c r="Y70" s="78"/>
    </row>
    <row r="71" customFormat="false" ht="15" hidden="false" customHeight="false" outlineLevel="0" collapsed="false">
      <c r="A71" s="5" t="n">
        <v>23</v>
      </c>
      <c r="B71" s="5" t="s">
        <v>136</v>
      </c>
      <c r="C71" s="5" t="s">
        <v>156</v>
      </c>
      <c r="D71" s="38" t="n">
        <v>24</v>
      </c>
      <c r="E71" s="38" t="n">
        <v>4</v>
      </c>
      <c r="F71" s="30" t="n">
        <v>48.74</v>
      </c>
      <c r="G71" s="30" t="n">
        <v>0.07</v>
      </c>
      <c r="H71" s="16" t="n">
        <v>9.6106762054</v>
      </c>
      <c r="I71" s="12" t="n">
        <f aca="false">H71</f>
        <v>9.6106762054</v>
      </c>
      <c r="J71" s="12" t="n">
        <f aca="false">10+LOG10(SIN(RADIANS(D71+E71/60+F71/3600)))</f>
        <v>9.61067620580674</v>
      </c>
      <c r="K71" s="25" t="n">
        <f aca="false">(I71-J71)*10000000000</f>
        <v>-4.06735978231154</v>
      </c>
      <c r="L71" s="39" t="s">
        <v>100</v>
      </c>
      <c r="N71" s="16" t="n">
        <v>3.8884410507</v>
      </c>
      <c r="O71" s="40" t="n">
        <f aca="false">O73+I71-I73</f>
        <v>3.8884410506</v>
      </c>
      <c r="P71" s="41" t="n">
        <f aca="false">IF(N71="","",(O71-N71)*10000000000)</f>
        <v>-1.00000896452457</v>
      </c>
      <c r="Q71" s="38" t="n">
        <v>0</v>
      </c>
      <c r="R71" s="12" t="n">
        <f aca="false">I71-COS(RADIANS(D71+E71/60+F71/3600))/SIN(RADIANS(D71+E71/60+F71/3600))*RADIANS(Q71/3600)/LN(10)</f>
        <v>9.6106762054</v>
      </c>
      <c r="S71" s="40" t="n">
        <f aca="false">S73+R71-R73</f>
        <v>3.8884410506</v>
      </c>
      <c r="T71" s="40" t="n">
        <f aca="false">T73+J71-J73</f>
        <v>3.88844105075337</v>
      </c>
      <c r="U71" s="42" t="n">
        <f aca="false">Summary!$C$6*ASIN(10^O71/Summary!$C$6)</f>
        <v>7734.66407062693</v>
      </c>
      <c r="V71" s="15" t="n">
        <v>7734.6641</v>
      </c>
      <c r="W71" s="43" t="n">
        <f aca="false">IF(V71="","",(V71-U71)*Summary!$C$7*1000)</f>
        <v>0.0572491953098569</v>
      </c>
      <c r="X71" s="44" t="n">
        <f aca="false">U71*Summary!$C$7</f>
        <v>15075.1432965178</v>
      </c>
      <c r="Y71" s="26" t="n">
        <f aca="false">(D71+D72+D73-180)*3600+(E71+E72+E73)*60+F71+F72+F73-(G71+G72+G73)</f>
        <v>6.38378239159465E-015</v>
      </c>
    </row>
    <row r="72" customFormat="false" ht="15" hidden="false" customHeight="false" outlineLevel="0" collapsed="false">
      <c r="A72" s="5" t="n">
        <v>23</v>
      </c>
      <c r="B72" s="5" t="s">
        <v>140</v>
      </c>
      <c r="C72" s="5" t="s">
        <v>154</v>
      </c>
      <c r="D72" s="38" t="n">
        <v>25</v>
      </c>
      <c r="E72" s="38" t="n">
        <v>10</v>
      </c>
      <c r="F72" s="30" t="n">
        <v>55.58</v>
      </c>
      <c r="G72" s="30" t="n">
        <v>0.06</v>
      </c>
      <c r="H72" s="16" t="n">
        <v>9.628896173</v>
      </c>
      <c r="I72" s="12" t="n">
        <f aca="false">H72</f>
        <v>9.628896173</v>
      </c>
      <c r="J72" s="12" t="n">
        <f aca="false">10+LOG10(SIN(RADIANS(D72+E72/60+F72/3600)))</f>
        <v>9.62889617370302</v>
      </c>
      <c r="K72" s="25" t="n">
        <f aca="false">(I72-J72)*10000000000</f>
        <v>-7.0301986454524</v>
      </c>
      <c r="L72" s="39" t="s">
        <v>100</v>
      </c>
      <c r="N72" s="16" t="n">
        <v>3.9066610183</v>
      </c>
      <c r="O72" s="40" t="n">
        <f aca="false">O73+I72-I73</f>
        <v>3.9066610182</v>
      </c>
      <c r="P72" s="41" t="n">
        <f aca="false">IF(N72="","",(O72-N72)*10000000000)</f>
        <v>-1.00002228720086</v>
      </c>
      <c r="Q72" s="38" t="n">
        <v>0</v>
      </c>
      <c r="R72" s="12" t="n">
        <f aca="false">I72-COS(RADIANS(D72+E72/60+F72/3600))/SIN(RADIANS(D72+E72/60+F72/3600))*RADIANS(Q72/3600)/LN(10)</f>
        <v>9.628896173</v>
      </c>
      <c r="S72" s="40" t="n">
        <f aca="false">S73+R72-R73</f>
        <v>3.9066610182</v>
      </c>
      <c r="T72" s="40" t="n">
        <f aca="false">T73+J72-J73</f>
        <v>3.90666101864965</v>
      </c>
      <c r="U72" s="42" t="n">
        <f aca="false">Summary!$C$6*ASIN(10^O72/Summary!$C$6)</f>
        <v>8066.0602081099</v>
      </c>
      <c r="V72" s="15" t="n">
        <v>8066.0602</v>
      </c>
      <c r="W72" s="43" t="n">
        <f aca="false">IF(V72="","",(V72-U72)*Summary!$C$7*1000)</f>
        <v>-0.0158064823695128</v>
      </c>
      <c r="X72" s="44" t="n">
        <f aca="false">U72*Summary!$C$7</f>
        <v>15721.0464947498</v>
      </c>
    </row>
    <row r="73" customFormat="false" ht="15" hidden="false" customHeight="false" outlineLevel="0" collapsed="false">
      <c r="A73" s="45" t="n">
        <v>23</v>
      </c>
      <c r="B73" s="45" t="s">
        <v>155</v>
      </c>
      <c r="C73" s="45" t="s">
        <v>141</v>
      </c>
      <c r="D73" s="46" t="n">
        <v>130</v>
      </c>
      <c r="E73" s="46" t="n">
        <v>44</v>
      </c>
      <c r="F73" s="47" t="n">
        <v>16.13</v>
      </c>
      <c r="G73" s="47" t="n">
        <v>0.32</v>
      </c>
      <c r="H73" s="48" t="n">
        <v>9.8794994658</v>
      </c>
      <c r="I73" s="49" t="n">
        <f aca="false">H73</f>
        <v>9.8794994658</v>
      </c>
      <c r="J73" s="49" t="n">
        <f aca="false">10+LOG10(SIN(RADIANS(D73+E73/60+F73/3600)))</f>
        <v>9.87949946602961</v>
      </c>
      <c r="K73" s="50" t="n">
        <f aca="false">(I73-J73)*10000000000</f>
        <v>-2.29610108704037</v>
      </c>
      <c r="L73" s="51" t="s">
        <v>103</v>
      </c>
      <c r="M73" s="51" t="n">
        <v>16</v>
      </c>
      <c r="N73" s="52"/>
      <c r="O73" s="52" t="n">
        <f aca="false">O52</f>
        <v>4.157264311</v>
      </c>
      <c r="P73" s="53"/>
      <c r="Q73" s="46" t="n">
        <v>0</v>
      </c>
      <c r="R73" s="49" t="n">
        <f aca="false">I73-COS(RADIANS(D73+E73/60+F73/3600))/SIN(RADIANS(D73+E73/60+F73/3600))*RADIANS(Q73/3600)/LN(10)</f>
        <v>9.8794994658</v>
      </c>
      <c r="S73" s="52" t="n">
        <f aca="false">S52</f>
        <v>4.157264311</v>
      </c>
      <c r="T73" s="52" t="n">
        <f aca="false">T52</f>
        <v>4.15726431097625</v>
      </c>
      <c r="U73" s="54"/>
      <c r="V73" s="54"/>
      <c r="W73" s="56"/>
      <c r="X73" s="57"/>
      <c r="Y73" s="51"/>
    </row>
    <row r="74" customFormat="false" ht="15" hidden="false" customHeight="false" outlineLevel="0" collapsed="false">
      <c r="A74" s="58" t="n">
        <v>24</v>
      </c>
      <c r="B74" s="58" t="s">
        <v>147</v>
      </c>
      <c r="C74" s="58" t="s">
        <v>157</v>
      </c>
      <c r="D74" s="59" t="n">
        <v>60</v>
      </c>
      <c r="E74" s="59" t="n">
        <v>29</v>
      </c>
      <c r="F74" s="60" t="n">
        <v>18.89</v>
      </c>
      <c r="G74" s="60" t="n">
        <v>0.31</v>
      </c>
      <c r="H74" s="61" t="n">
        <v>9.9396477923</v>
      </c>
      <c r="I74" s="62" t="n">
        <f aca="false">H74</f>
        <v>9.9396477923</v>
      </c>
      <c r="J74" s="62" t="n">
        <f aca="false">10+LOG10(SIN(RADIANS(D74+E74/60+F74/3600)))</f>
        <v>9.93964779236809</v>
      </c>
      <c r="K74" s="63" t="n">
        <f aca="false">(I74-J74)*10000000000</f>
        <v>-0.680859812973722</v>
      </c>
      <c r="L74" s="64" t="s">
        <v>100</v>
      </c>
      <c r="M74" s="64"/>
      <c r="N74" s="61" t="n">
        <v>4.0281740189</v>
      </c>
      <c r="O74" s="65" t="n">
        <f aca="false">O76+I74-I76</f>
        <v>4.0281740187</v>
      </c>
      <c r="P74" s="66" t="n">
        <f aca="false">IF(N74="","",(O74-N74)*10000000000)</f>
        <v>-2.00000016548074</v>
      </c>
      <c r="Q74" s="59" t="n">
        <v>0</v>
      </c>
      <c r="R74" s="62" t="n">
        <f aca="false">I74-COS(RADIANS(D74+E74/60+F74/3600))/SIN(RADIANS(D74+E74/60+F74/3600))*RADIANS(Q74/3600)/LN(10)</f>
        <v>9.9396477923</v>
      </c>
      <c r="S74" s="65" t="n">
        <f aca="false">S76+R74-R76</f>
        <v>4.0281740187</v>
      </c>
      <c r="T74" s="65" t="n">
        <f aca="false">T76+J74-J76</f>
        <v>4.02817401879615</v>
      </c>
      <c r="U74" s="67" t="n">
        <f aca="false">Summary!$C$6*ASIN(10^O74/Summary!$C$6)</f>
        <v>10670.2548134598</v>
      </c>
      <c r="V74" s="68" t="n">
        <v>10670.2548</v>
      </c>
      <c r="W74" s="69" t="n">
        <f aca="false">IF(V74="","",(V74-U74)*Summary!$C$7*1000)</f>
        <v>-0.0262336770899287</v>
      </c>
      <c r="X74" s="70" t="n">
        <f aca="false">U74*Summary!$C$7</f>
        <v>20796.7170719319</v>
      </c>
      <c r="Y74" s="71" t="n">
        <f aca="false">(D74+D75+D76-180)*3600+(E74+E75+E76)*60+F74+F75+F76-(G74+G75+G76)</f>
        <v>0</v>
      </c>
    </row>
    <row r="75" customFormat="false" ht="15" hidden="false" customHeight="false" outlineLevel="0" collapsed="false">
      <c r="A75" s="58" t="n">
        <v>24</v>
      </c>
      <c r="B75" s="58" t="s">
        <v>144</v>
      </c>
      <c r="C75" s="58" t="s">
        <v>158</v>
      </c>
      <c r="D75" s="59" t="n">
        <v>69</v>
      </c>
      <c r="E75" s="59" t="n">
        <v>17</v>
      </c>
      <c r="F75" s="60" t="n">
        <v>28.16</v>
      </c>
      <c r="G75" s="60" t="n">
        <v>0.33</v>
      </c>
      <c r="H75" s="61" t="n">
        <v>9.9709924698</v>
      </c>
      <c r="I75" s="62" t="n">
        <f aca="false">H75</f>
        <v>9.9709924698</v>
      </c>
      <c r="J75" s="62" t="n">
        <f aca="false">10+LOG10(SIN(RADIANS(D75+E75/60+F75/3600)))</f>
        <v>9.97099246993794</v>
      </c>
      <c r="K75" s="63" t="n">
        <f aca="false">(I75-J75)*10000000000</f>
        <v>-1.37935884936269</v>
      </c>
      <c r="L75" s="64" t="s">
        <v>100</v>
      </c>
      <c r="M75" s="64"/>
      <c r="N75" s="61" t="n">
        <v>4.0595186964</v>
      </c>
      <c r="O75" s="65" t="n">
        <f aca="false">O76+I75-I76</f>
        <v>4.0595186962</v>
      </c>
      <c r="P75" s="66" t="n">
        <f aca="false">IF(N75="","",(O75-N75)*10000000000)</f>
        <v>-2.00000016548074</v>
      </c>
      <c r="Q75" s="59" t="n">
        <v>0</v>
      </c>
      <c r="R75" s="62" t="n">
        <f aca="false">I75-COS(RADIANS(D75+E75/60+F75/3600))/SIN(RADIANS(D75+E75/60+F75/3600))*RADIANS(Q75/3600)/LN(10)</f>
        <v>9.9709924698</v>
      </c>
      <c r="S75" s="65" t="n">
        <f aca="false">S76+R75-R76</f>
        <v>4.0595186962</v>
      </c>
      <c r="T75" s="65" t="n">
        <f aca="false">T76+J75-J76</f>
        <v>4.059518696366</v>
      </c>
      <c r="U75" s="67" t="n">
        <f aca="false">Summary!$C$6*ASIN(10^O75/Summary!$C$6)</f>
        <v>11468.8424878925</v>
      </c>
      <c r="V75" s="68" t="n">
        <v>11468.8425</v>
      </c>
      <c r="W75" s="69" t="n">
        <f aca="false">IF(V75="","",(V75-U75)*Summary!$C$7*1000)</f>
        <v>0.0235978665225752</v>
      </c>
      <c r="X75" s="70" t="n">
        <f aca="false">U75*Summary!$C$7</f>
        <v>22353.1936709124</v>
      </c>
      <c r="Y75" s="64"/>
    </row>
    <row r="76" customFormat="false" ht="15" hidden="false" customHeight="false" outlineLevel="0" collapsed="false">
      <c r="A76" s="72" t="n">
        <v>24</v>
      </c>
      <c r="B76" s="72" t="s">
        <v>159</v>
      </c>
      <c r="C76" s="72" t="s">
        <v>160</v>
      </c>
      <c r="D76" s="73" t="n">
        <v>50</v>
      </c>
      <c r="E76" s="73" t="n">
        <v>13</v>
      </c>
      <c r="F76" s="74" t="n">
        <v>13.86</v>
      </c>
      <c r="G76" s="74" t="n">
        <v>0.27</v>
      </c>
      <c r="H76" s="75" t="n">
        <v>9.8856510412</v>
      </c>
      <c r="I76" s="76" t="n">
        <f aca="false">H76</f>
        <v>9.8856510412</v>
      </c>
      <c r="J76" s="76" t="n">
        <f aca="false">10+LOG10(SIN(RADIANS(D76+E76/60+F76/3600)))</f>
        <v>9.88565104143903</v>
      </c>
      <c r="K76" s="77" t="n">
        <f aca="false">(I76-J76)*10000000000</f>
        <v>-2.39030129023377</v>
      </c>
      <c r="L76" s="78" t="s">
        <v>103</v>
      </c>
      <c r="M76" s="78" t="n">
        <v>18</v>
      </c>
      <c r="N76" s="79"/>
      <c r="O76" s="79" t="n">
        <f aca="false">O56</f>
        <v>3.9741772676</v>
      </c>
      <c r="P76" s="80"/>
      <c r="Q76" s="73" t="n">
        <v>0</v>
      </c>
      <c r="R76" s="76" t="n">
        <f aca="false">I76-COS(RADIANS(D76+E76/60+F76/3600))/SIN(RADIANS(D76+E76/60+F76/3600))*RADIANS(Q76/3600)/LN(10)</f>
        <v>9.8856510412</v>
      </c>
      <c r="S76" s="79" t="n">
        <f aca="false">S56</f>
        <v>3.9741772676</v>
      </c>
      <c r="T76" s="79" t="n">
        <f aca="false">T56</f>
        <v>3.9741772678671</v>
      </c>
      <c r="U76" s="81"/>
      <c r="V76" s="81"/>
      <c r="W76" s="82"/>
      <c r="X76" s="83"/>
      <c r="Y76" s="78"/>
    </row>
    <row r="77" customFormat="false" ht="15" hidden="false" customHeight="false" outlineLevel="0" collapsed="false">
      <c r="A77" s="5" t="n">
        <v>25</v>
      </c>
      <c r="B77" s="5" t="s">
        <v>144</v>
      </c>
      <c r="C77" s="5" t="s">
        <v>161</v>
      </c>
      <c r="D77" s="38" t="n">
        <v>62</v>
      </c>
      <c r="E77" s="38" t="n">
        <v>33</v>
      </c>
      <c r="F77" s="30" t="n">
        <v>21.29</v>
      </c>
      <c r="G77" s="30" t="n">
        <v>0.33</v>
      </c>
      <c r="H77" s="16" t="n">
        <v>9.9481492877</v>
      </c>
      <c r="I77" s="12" t="n">
        <f aca="false">H77</f>
        <v>9.9481492877</v>
      </c>
      <c r="J77" s="12" t="n">
        <f aca="false">10+LOG10(SIN(RADIANS(D77+E77/60+F77/3600)))</f>
        <v>9.94814928790058</v>
      </c>
      <c r="K77" s="25" t="n">
        <f aca="false">(I77-J77)*10000000000</f>
        <v>-2.00579108877719</v>
      </c>
      <c r="L77" s="39" t="s">
        <v>100</v>
      </c>
      <c r="N77" s="16" t="n">
        <v>4.0376309402</v>
      </c>
      <c r="O77" s="40" t="n">
        <f aca="false">O79+I77-I79</f>
        <v>4.03763094</v>
      </c>
      <c r="P77" s="41" t="n">
        <f aca="false">IF(N77="","",(O77-N77)*10000000000)</f>
        <v>-2.00000016548074</v>
      </c>
      <c r="Q77" s="38" t="n">
        <v>0</v>
      </c>
      <c r="R77" s="12" t="n">
        <f aca="false">I77-COS(RADIANS(D77+E77/60+F77/3600))/SIN(RADIANS(D77+E77/60+F77/3600))*RADIANS(Q77/3600)/LN(10)</f>
        <v>9.9481492877</v>
      </c>
      <c r="S77" s="40" t="n">
        <f aca="false">S79+R77-R79</f>
        <v>4.03763094</v>
      </c>
      <c r="T77" s="40" t="n">
        <f aca="false">T79+J77-J79</f>
        <v>4.03763094024597</v>
      </c>
      <c r="U77" s="42" t="n">
        <f aca="false">Summary!$C$6*ASIN(10^O77/Summary!$C$6)</f>
        <v>10905.1525819002</v>
      </c>
      <c r="V77" s="15" t="n">
        <v>10905.1526</v>
      </c>
      <c r="W77" s="43" t="n">
        <f aca="false">IF(V77="","",(V77-U77)*Summary!$C$7*1000)</f>
        <v>0.0352772282296191</v>
      </c>
      <c r="X77" s="44" t="n">
        <f aca="false">U77*Summary!$C$7</f>
        <v>21254.541417881</v>
      </c>
      <c r="Y77" s="26" t="n">
        <f aca="false">(D77+D78+D79-180)*3600+(E77+E78+E79)*60+F77+F78+F79-(G77+G78+G79)</f>
        <v>0</v>
      </c>
    </row>
    <row r="78" customFormat="false" ht="15" hidden="false" customHeight="false" outlineLevel="0" collapsed="false">
      <c r="A78" s="5" t="n">
        <v>25</v>
      </c>
      <c r="B78" s="5" t="s">
        <v>159</v>
      </c>
      <c r="C78" s="5" t="s">
        <v>162</v>
      </c>
      <c r="D78" s="38" t="n">
        <v>57</v>
      </c>
      <c r="E78" s="38" t="n">
        <v>10</v>
      </c>
      <c r="F78" s="30" t="n">
        <v>38.82</v>
      </c>
      <c r="G78" s="30" t="n">
        <v>0.3</v>
      </c>
      <c r="H78" s="16" t="n">
        <v>9.924461929</v>
      </c>
      <c r="I78" s="12" t="n">
        <f aca="false">H78</f>
        <v>9.924461929</v>
      </c>
      <c r="J78" s="12" t="n">
        <f aca="false">10+LOG10(SIN(RADIANS(D78+E78/60+F78/3600)))</f>
        <v>9.92446192915454</v>
      </c>
      <c r="K78" s="25" t="n">
        <f aca="false">(I78-J78)*10000000000</f>
        <v>-1.54541268670982</v>
      </c>
      <c r="L78" s="39" t="s">
        <v>100</v>
      </c>
      <c r="N78" s="16" t="n">
        <v>4.0139435815</v>
      </c>
      <c r="O78" s="40" t="n">
        <f aca="false">O79+I78-I79</f>
        <v>4.0139435813</v>
      </c>
      <c r="P78" s="41" t="n">
        <f aca="false">IF(N78="","",(O78-N78)*10000000000)</f>
        <v>-2.00000904726494</v>
      </c>
      <c r="Q78" s="38" t="n">
        <v>0</v>
      </c>
      <c r="R78" s="12" t="n">
        <f aca="false">I78-COS(RADIANS(D78+E78/60+F78/3600))/SIN(RADIANS(D78+E78/60+F78/3600))*RADIANS(Q78/3600)/LN(10)</f>
        <v>9.924461929</v>
      </c>
      <c r="S78" s="40" t="n">
        <f aca="false">S79+R78-R79</f>
        <v>4.0139435813</v>
      </c>
      <c r="T78" s="40" t="n">
        <f aca="false">T79+J78-J79</f>
        <v>4.01394358149994</v>
      </c>
      <c r="U78" s="42" t="n">
        <f aca="false">Summary!$C$6*ASIN(10^O78/Summary!$C$6)</f>
        <v>10326.2896904037</v>
      </c>
      <c r="V78" s="15" t="n">
        <v>10326.2897</v>
      </c>
      <c r="W78" s="43" t="n">
        <f aca="false">IF(V78="","",(V78-U78)*Summary!$C$7*1000)</f>
        <v>0.0187034912129924</v>
      </c>
      <c r="X78" s="44" t="n">
        <f aca="false">U78*Summary!$C$7</f>
        <v>20126.3164609</v>
      </c>
    </row>
    <row r="79" customFormat="false" ht="15" hidden="false" customHeight="false" outlineLevel="0" collapsed="false">
      <c r="A79" s="45" t="n">
        <v>25</v>
      </c>
      <c r="B79" s="45" t="s">
        <v>163</v>
      </c>
      <c r="C79" s="45" t="s">
        <v>157</v>
      </c>
      <c r="D79" s="46" t="n">
        <v>60</v>
      </c>
      <c r="E79" s="46" t="n">
        <v>16</v>
      </c>
      <c r="F79" s="47" t="n">
        <v>0.83</v>
      </c>
      <c r="G79" s="47" t="n">
        <v>0.31</v>
      </c>
      <c r="H79" s="48" t="n">
        <v>9.9386923664</v>
      </c>
      <c r="I79" s="49" t="n">
        <f aca="false">H79</f>
        <v>9.9386923664</v>
      </c>
      <c r="J79" s="49" t="n">
        <f aca="false">10+LOG10(SIN(RADIANS(D79+E79/60+F79/3600)))</f>
        <v>9.93869236645076</v>
      </c>
      <c r="K79" s="50" t="n">
        <f aca="false">(I79-J79)*10000000000</f>
        <v>-0.507576203290228</v>
      </c>
      <c r="L79" s="51" t="s">
        <v>103</v>
      </c>
      <c r="M79" s="51" t="n">
        <v>24</v>
      </c>
      <c r="N79" s="52"/>
      <c r="O79" s="52" t="n">
        <f aca="false">O74</f>
        <v>4.0281740187</v>
      </c>
      <c r="P79" s="53"/>
      <c r="Q79" s="46" t="n">
        <v>0</v>
      </c>
      <c r="R79" s="49" t="n">
        <f aca="false">I79-COS(RADIANS(D79+E79/60+F79/3600))/SIN(RADIANS(D79+E79/60+F79/3600))*RADIANS(Q79/3600)/LN(10)</f>
        <v>9.9386923664</v>
      </c>
      <c r="S79" s="52" t="n">
        <f aca="false">S74</f>
        <v>4.0281740187</v>
      </c>
      <c r="T79" s="52" t="n">
        <f aca="false">T74</f>
        <v>4.02817401879615</v>
      </c>
      <c r="U79" s="54"/>
      <c r="V79" s="54"/>
      <c r="W79" s="56"/>
      <c r="X79" s="57"/>
      <c r="Y79" s="51"/>
    </row>
    <row r="80" customFormat="false" ht="15" hidden="false" customHeight="false" outlineLevel="0" collapsed="false">
      <c r="A80" s="58" t="n">
        <v>26</v>
      </c>
      <c r="B80" s="58" t="s">
        <v>159</v>
      </c>
      <c r="C80" s="58" t="s">
        <v>164</v>
      </c>
      <c r="D80" s="59" t="n">
        <v>62</v>
      </c>
      <c r="E80" s="59" t="n">
        <v>21</v>
      </c>
      <c r="F80" s="60" t="n">
        <v>38.68</v>
      </c>
      <c r="G80" s="60" t="n">
        <v>0.35</v>
      </c>
      <c r="H80" s="61" t="n">
        <v>9.9473778133</v>
      </c>
      <c r="I80" s="62" t="n">
        <f aca="false">H80</f>
        <v>9.9473778133</v>
      </c>
      <c r="J80" s="62" t="n">
        <f aca="false">10+LOG10(SIN(RADIANS(D80+E80/60+F80/3600)))</f>
        <v>9.94737781351909</v>
      </c>
      <c r="K80" s="63" t="n">
        <f aca="false">(I80-J80)*10000000000</f>
        <v>-2.1908697078743</v>
      </c>
      <c r="L80" s="64" t="s">
        <v>100</v>
      </c>
      <c r="M80" s="64"/>
      <c r="N80" s="61" t="n">
        <v>4.058088007</v>
      </c>
      <c r="O80" s="65" t="n">
        <f aca="false">O82+I80-I82</f>
        <v>4.0580880067</v>
      </c>
      <c r="P80" s="66" t="n">
        <f aca="false">IF(N80="","",(O80-N80)*10000000000)</f>
        <v>-3.00001801178951</v>
      </c>
      <c r="Q80" s="59" t="n">
        <v>0</v>
      </c>
      <c r="R80" s="62" t="n">
        <f aca="false">I80-COS(RADIANS(D80+E80/60+F80/3600))/SIN(RADIANS(D80+E80/60+F80/3600))*RADIANS(Q80/3600)/LN(10)</f>
        <v>9.9473778133</v>
      </c>
      <c r="S80" s="65" t="n">
        <f aca="false">S82+R80-R82</f>
        <v>4.0580880067</v>
      </c>
      <c r="T80" s="65" t="n">
        <f aca="false">T82+J80-J82</f>
        <v>4.05808800704294</v>
      </c>
      <c r="U80" s="67" t="n">
        <f aca="false">Summary!$C$6*ASIN(10^O80/Summary!$C$6)</f>
        <v>11431.1228692165</v>
      </c>
      <c r="V80" s="68" t="n">
        <v>11431.1229</v>
      </c>
      <c r="W80" s="69" t="n">
        <f aca="false">IF(V80="","",(V80-U80)*Summary!$C$7*1000)</f>
        <v>0.0599981817519138</v>
      </c>
      <c r="X80" s="70" t="n">
        <f aca="false">U80*Summary!$C$7</f>
        <v>22279.6767538958</v>
      </c>
      <c r="Y80" s="71" t="n">
        <f aca="false">(D80+D81+D82-180)*3600+(E80+E81+E82)*60+F80+F81+F82-(G80+G81+G82)</f>
        <v>0</v>
      </c>
    </row>
    <row r="81" customFormat="false" ht="15" hidden="false" customHeight="false" outlineLevel="0" collapsed="false">
      <c r="A81" s="58" t="n">
        <v>26</v>
      </c>
      <c r="B81" s="58" t="s">
        <v>163</v>
      </c>
      <c r="C81" s="58" t="s">
        <v>165</v>
      </c>
      <c r="D81" s="59" t="n">
        <v>59</v>
      </c>
      <c r="E81" s="59" t="n">
        <v>57</v>
      </c>
      <c r="F81" s="60" t="n">
        <v>15.31</v>
      </c>
      <c r="G81" s="60" t="n">
        <v>0.34</v>
      </c>
      <c r="H81" s="61" t="n">
        <v>9.9373302461</v>
      </c>
      <c r="I81" s="62" t="n">
        <f aca="false">H81</f>
        <v>9.9373302461</v>
      </c>
      <c r="J81" s="62" t="n">
        <f aca="false">10+LOG10(SIN(RADIANS(D81+E81/60+F81/3600)))</f>
        <v>9.93733024627526</v>
      </c>
      <c r="K81" s="63" t="n">
        <f aca="false">(I81-J81)*10000000000</f>
        <v>-1.75262471202586</v>
      </c>
      <c r="L81" s="64" t="s">
        <v>100</v>
      </c>
      <c r="M81" s="64"/>
      <c r="N81" s="61" t="n">
        <v>4.0480404398</v>
      </c>
      <c r="O81" s="65" t="n">
        <f aca="false">O82+I81-I82</f>
        <v>4.0480404395</v>
      </c>
      <c r="P81" s="66" t="n">
        <f aca="false">IF(N81="","",(O81-N81)*10000000000)</f>
        <v>-3.00000913000531</v>
      </c>
      <c r="Q81" s="59" t="n">
        <v>0</v>
      </c>
      <c r="R81" s="62" t="n">
        <f aca="false">I81-COS(RADIANS(D81+E81/60+F81/3600))/SIN(RADIANS(D81+E81/60+F81/3600))*RADIANS(Q81/3600)/LN(10)</f>
        <v>9.9373302461</v>
      </c>
      <c r="S81" s="65" t="n">
        <f aca="false">S82+R81-R82</f>
        <v>4.0480404395</v>
      </c>
      <c r="T81" s="65" t="n">
        <f aca="false">T82+J81-J82</f>
        <v>4.04804043979912</v>
      </c>
      <c r="U81" s="67" t="n">
        <f aca="false">Summary!$C$6*ASIN(10^O81/Summary!$C$6)</f>
        <v>11169.6942584832</v>
      </c>
      <c r="V81" s="68" t="n">
        <v>11169.6943</v>
      </c>
      <c r="W81" s="69" t="n">
        <f aca="false">IF(V81="","",(V81-U81)*Summary!$C$7*1000)</f>
        <v>0.0809177121106356</v>
      </c>
      <c r="X81" s="70" t="n">
        <f aca="false">U81*Summary!$C$7</f>
        <v>21770.1428255149</v>
      </c>
      <c r="Y81" s="64"/>
    </row>
    <row r="82" customFormat="false" ht="15" hidden="false" customHeight="false" outlineLevel="0" collapsed="false">
      <c r="A82" s="72" t="n">
        <v>26</v>
      </c>
      <c r="B82" s="72" t="s">
        <v>166</v>
      </c>
      <c r="C82" s="72" t="s">
        <v>161</v>
      </c>
      <c r="D82" s="73" t="n">
        <v>57</v>
      </c>
      <c r="E82" s="73" t="n">
        <v>41</v>
      </c>
      <c r="F82" s="74" t="n">
        <v>7.04</v>
      </c>
      <c r="G82" s="74" t="n">
        <v>0.34</v>
      </c>
      <c r="H82" s="75" t="n">
        <v>9.9269207466</v>
      </c>
      <c r="I82" s="76" t="n">
        <f aca="false">H82</f>
        <v>9.9269207466</v>
      </c>
      <c r="J82" s="76" t="n">
        <f aca="false">10+LOG10(SIN(RADIANS(D82+E82/60+F82/3600)))</f>
        <v>9.92692074672212</v>
      </c>
      <c r="K82" s="77" t="n">
        <f aca="false">(I82-J82)*10000000000</f>
        <v>-1.22120979995088</v>
      </c>
      <c r="L82" s="78" t="s">
        <v>103</v>
      </c>
      <c r="M82" s="78" t="n">
        <v>25</v>
      </c>
      <c r="N82" s="79"/>
      <c r="O82" s="79" t="n">
        <f aca="false">O77</f>
        <v>4.03763094</v>
      </c>
      <c r="P82" s="80"/>
      <c r="Q82" s="73" t="n">
        <v>0</v>
      </c>
      <c r="R82" s="76" t="n">
        <f aca="false">I82-COS(RADIANS(D82+E82/60+F82/3600))/SIN(RADIANS(D82+E82/60+F82/3600))*RADIANS(Q82/3600)/LN(10)</f>
        <v>9.9269207466</v>
      </c>
      <c r="S82" s="79" t="n">
        <f aca="false">S77</f>
        <v>4.03763094</v>
      </c>
      <c r="T82" s="79" t="n">
        <f aca="false">T77</f>
        <v>4.03763094024597</v>
      </c>
      <c r="U82" s="81"/>
      <c r="V82" s="81"/>
      <c r="W82" s="82"/>
      <c r="X82" s="83"/>
      <c r="Y82" s="78"/>
    </row>
    <row r="83" customFormat="false" ht="15" hidden="false" customHeight="false" outlineLevel="0" collapsed="false">
      <c r="A83" s="5" t="n">
        <v>27</v>
      </c>
      <c r="B83" s="5" t="s">
        <v>159</v>
      </c>
      <c r="C83" s="5" t="s">
        <v>167</v>
      </c>
      <c r="D83" s="38" t="n">
        <v>62</v>
      </c>
      <c r="E83" s="38" t="n">
        <v>59</v>
      </c>
      <c r="F83" s="30" t="n">
        <v>9.47</v>
      </c>
      <c r="G83" s="30" t="n">
        <v>0.37</v>
      </c>
      <c r="H83" s="16" t="n">
        <v>9.9498266581</v>
      </c>
      <c r="I83" s="12" t="n">
        <f aca="false">H83</f>
        <v>9.9498266581</v>
      </c>
      <c r="J83" s="12" t="n">
        <f aca="false">10+LOG10(SIN(RADIANS(D83+E83/60+F83/3600)))</f>
        <v>9.94982665828302</v>
      </c>
      <c r="K83" s="25" t="n">
        <f aca="false">(I83-J83)*10000000000</f>
        <v>-1.83016268806568</v>
      </c>
      <c r="L83" s="39" t="s">
        <v>100</v>
      </c>
      <c r="N83" s="16" t="n">
        <v>4.0672248669</v>
      </c>
      <c r="O83" s="40" t="n">
        <f aca="false">O85+I83-I85</f>
        <v>4.0672248666</v>
      </c>
      <c r="P83" s="41" t="n">
        <f aca="false">IF(N83="","",(O83-N83)*10000000000)</f>
        <v>-3.00001801178951</v>
      </c>
      <c r="Q83" s="38" t="n">
        <v>0</v>
      </c>
      <c r="R83" s="12" t="n">
        <f aca="false">I83-COS(RADIANS(D83+E83/60+F83/3600))/SIN(RADIANS(D83+E83/60+F83/3600))*RADIANS(Q83/3600)/LN(10)</f>
        <v>9.9498266581</v>
      </c>
      <c r="S83" s="40" t="n">
        <f aca="false">S85+R83-R85</f>
        <v>4.0672248666</v>
      </c>
      <c r="T83" s="40" t="n">
        <f aca="false">T85+J83-J85</f>
        <v>4.06722486693734</v>
      </c>
      <c r="U83" s="42" t="n">
        <f aca="false">Summary!$C$6*ASIN(10^O83/Summary!$C$6)</f>
        <v>11674.1640216368</v>
      </c>
      <c r="V83" s="15" t="n">
        <v>11674.164</v>
      </c>
      <c r="W83" s="43" t="n">
        <f aca="false">IF(V83="","",(V83-U83)*Summary!$C$7*1000)</f>
        <v>-0.0421709589056498</v>
      </c>
      <c r="X83" s="44" t="n">
        <f aca="false">U83*Summary!$C$7</f>
        <v>22753.3728532004</v>
      </c>
      <c r="Y83" s="26" t="n">
        <f aca="false">(D83+D84+D85-180)*3600+(E83+E84+E85)*60+F83+F84+F85-(G83+G84+G85)</f>
        <v>0</v>
      </c>
    </row>
    <row r="84" customFormat="false" ht="15" hidden="false" customHeight="false" outlineLevel="0" collapsed="false">
      <c r="A84" s="5" t="n">
        <v>27</v>
      </c>
      <c r="B84" s="5" t="s">
        <v>166</v>
      </c>
      <c r="C84" s="5" t="s">
        <v>168</v>
      </c>
      <c r="D84" s="38" t="n">
        <v>58</v>
      </c>
      <c r="E84" s="38" t="n">
        <v>32</v>
      </c>
      <c r="F84" s="30" t="n">
        <v>27.3</v>
      </c>
      <c r="G84" s="30" t="n">
        <v>0.35</v>
      </c>
      <c r="H84" s="16" t="n">
        <v>9.9309556901</v>
      </c>
      <c r="I84" s="12" t="n">
        <f aca="false">H84</f>
        <v>9.9309556901</v>
      </c>
      <c r="J84" s="12" t="n">
        <f aca="false">10+LOG10(SIN(RADIANS(D84+E84/60+F84/3600)))</f>
        <v>9.93095569017729</v>
      </c>
      <c r="K84" s="25" t="n">
        <f aca="false">(I84-J84)*10000000000</f>
        <v>-0.772910624391443</v>
      </c>
      <c r="L84" s="39" t="s">
        <v>100</v>
      </c>
      <c r="N84" s="16" t="n">
        <v>4.0483538989</v>
      </c>
      <c r="O84" s="40" t="n">
        <f aca="false">O85+I84-I85</f>
        <v>4.0483538986</v>
      </c>
      <c r="P84" s="41" t="n">
        <f aca="false">IF(N84="","",(O84-N84)*10000000000)</f>
        <v>-3.00001801178951</v>
      </c>
      <c r="Q84" s="38" t="n">
        <v>0</v>
      </c>
      <c r="R84" s="12" t="n">
        <f aca="false">I84-COS(RADIANS(D84+E84/60+F84/3600))/SIN(RADIANS(D84+E84/60+F84/3600))*RADIANS(Q84/3600)/LN(10)</f>
        <v>9.9309556901</v>
      </c>
      <c r="S84" s="40" t="n">
        <f aca="false">S85+R84-R85</f>
        <v>4.0483538986</v>
      </c>
      <c r="T84" s="40" t="n">
        <f aca="false">T85+J84-J85</f>
        <v>4.04835389883161</v>
      </c>
      <c r="U84" s="42" t="n">
        <f aca="false">Summary!$C$6*ASIN(10^O84/Summary!$C$6)</f>
        <v>11177.7591083967</v>
      </c>
      <c r="V84" s="15" t="n">
        <v>11177.7591</v>
      </c>
      <c r="W84" s="43" t="n">
        <f aca="false">IF(V84="","",(V84-U84)*Summary!$C$7*1000)</f>
        <v>-0.0163654732699995</v>
      </c>
      <c r="X84" s="44" t="n">
        <f aca="false">U84*Summary!$C$7</f>
        <v>21785.8615131011</v>
      </c>
    </row>
    <row r="85" customFormat="false" ht="15" hidden="false" customHeight="false" outlineLevel="0" collapsed="false">
      <c r="A85" s="45" t="n">
        <v>27</v>
      </c>
      <c r="B85" s="45" t="s">
        <v>169</v>
      </c>
      <c r="C85" s="45" t="s">
        <v>165</v>
      </c>
      <c r="D85" s="46" t="n">
        <v>58</v>
      </c>
      <c r="E85" s="46" t="n">
        <v>28</v>
      </c>
      <c r="F85" s="47" t="n">
        <v>24.29</v>
      </c>
      <c r="G85" s="47" t="n">
        <v>0.34</v>
      </c>
      <c r="H85" s="48" t="n">
        <v>9.930642231</v>
      </c>
      <c r="I85" s="49" t="n">
        <f aca="false">H85</f>
        <v>9.930642231</v>
      </c>
      <c r="J85" s="49" t="n">
        <f aca="false">10+LOG10(SIN(RADIANS(D85+E85/60+F85/3600)))</f>
        <v>9.93064223114479</v>
      </c>
      <c r="K85" s="50" t="n">
        <f aca="false">(I85-J85)*10000000000</f>
        <v>-1.44790845979514</v>
      </c>
      <c r="L85" s="51" t="s">
        <v>103</v>
      </c>
      <c r="M85" s="51" t="n">
        <v>26</v>
      </c>
      <c r="N85" s="52"/>
      <c r="O85" s="52" t="n">
        <f aca="false">O81</f>
        <v>4.0480404395</v>
      </c>
      <c r="P85" s="53"/>
      <c r="Q85" s="46" t="n">
        <v>0</v>
      </c>
      <c r="R85" s="49" t="n">
        <f aca="false">I85-COS(RADIANS(D85+E85/60+F85/3600))/SIN(RADIANS(D85+E85/60+F85/3600))*RADIANS(Q85/3600)/LN(10)</f>
        <v>9.930642231</v>
      </c>
      <c r="S85" s="52" t="n">
        <f aca="false">S81</f>
        <v>4.0480404395</v>
      </c>
      <c r="T85" s="52" t="n">
        <f aca="false">T81</f>
        <v>4.04804043979912</v>
      </c>
      <c r="U85" s="54"/>
      <c r="V85" s="54"/>
      <c r="W85" s="56"/>
      <c r="X85" s="57"/>
      <c r="Y85" s="51"/>
    </row>
    <row r="86" customFormat="false" ht="15" hidden="false" customHeight="false" outlineLevel="0" collapsed="false">
      <c r="A86" s="58" t="n">
        <v>28</v>
      </c>
      <c r="B86" s="58" t="s">
        <v>166</v>
      </c>
      <c r="C86" s="58" t="s">
        <v>170</v>
      </c>
      <c r="D86" s="59" t="n">
        <v>49</v>
      </c>
      <c r="E86" s="59" t="n">
        <v>18</v>
      </c>
      <c r="F86" s="60" t="n">
        <v>58.93</v>
      </c>
      <c r="G86" s="60" t="n">
        <v>0.25</v>
      </c>
      <c r="H86" s="61" t="n">
        <v>9.8798528597</v>
      </c>
      <c r="I86" s="62" t="n">
        <f aca="false">H86</f>
        <v>9.8798528597</v>
      </c>
      <c r="J86" s="62" t="n">
        <f aca="false">10+LOG10(SIN(RADIANS(D86+E86/60+F86/3600)))</f>
        <v>9.87985285973926</v>
      </c>
      <c r="K86" s="63" t="n">
        <f aca="false">(I86-J86)*10000000000</f>
        <v>-0.392557097939061</v>
      </c>
      <c r="L86" s="64" t="s">
        <v>100</v>
      </c>
      <c r="M86" s="64"/>
      <c r="N86" s="61" t="n">
        <v>3.9573399792</v>
      </c>
      <c r="O86" s="65" t="n">
        <f aca="false">O88+I86-I88</f>
        <v>3.9573399789</v>
      </c>
      <c r="P86" s="66" t="n">
        <f aca="false">IF(N86="","",(O86-N86)*10000000000)</f>
        <v>-3.00001357089741</v>
      </c>
      <c r="Q86" s="59" t="n">
        <v>0</v>
      </c>
      <c r="R86" s="62" t="n">
        <f aca="false">I86-COS(RADIANS(D86+E86/60+F86/3600))/SIN(RADIANS(D86+E86/60+F86/3600))*RADIANS(Q86/3600)/LN(10)</f>
        <v>9.8798528597</v>
      </c>
      <c r="S86" s="65" t="n">
        <f aca="false">S88+R86-R88</f>
        <v>3.9573399789</v>
      </c>
      <c r="T86" s="65" t="n">
        <f aca="false">T88+J86-J88</f>
        <v>3.95733997907185</v>
      </c>
      <c r="U86" s="67" t="n">
        <f aca="false">Summary!$C$6*ASIN(10^O86/Summary!$C$6)</f>
        <v>9064.43076439315</v>
      </c>
      <c r="V86" s="68" t="n">
        <v>9064.4308</v>
      </c>
      <c r="W86" s="69" t="n">
        <f aca="false">IF(V86="","",(V86-U86)*Summary!$C$7*1000)</f>
        <v>0.0693990613510647</v>
      </c>
      <c r="X86" s="70" t="n">
        <f aca="false">U86*Summary!$C$7</f>
        <v>17666.9072408099</v>
      </c>
      <c r="Y86" s="71" t="n">
        <f aca="false">(D86+D87+D88-180)*3600+(E86+E87+E88)*60+F86+F87+F88-(G86+G87+G88)</f>
        <v>3.33066907387547E-015</v>
      </c>
    </row>
    <row r="87" customFormat="false" ht="15" hidden="false" customHeight="false" outlineLevel="0" collapsed="false">
      <c r="A87" s="58" t="n">
        <v>28</v>
      </c>
      <c r="B87" s="58" t="s">
        <v>169</v>
      </c>
      <c r="C87" s="58" t="s">
        <v>171</v>
      </c>
      <c r="D87" s="59" t="n">
        <v>53</v>
      </c>
      <c r="E87" s="59" t="n">
        <v>5</v>
      </c>
      <c r="F87" s="60" t="n">
        <v>25.91</v>
      </c>
      <c r="G87" s="60" t="n">
        <v>0.26</v>
      </c>
      <c r="H87" s="61" t="n">
        <v>9.9028648632</v>
      </c>
      <c r="I87" s="62" t="n">
        <f aca="false">H87</f>
        <v>9.9028648632</v>
      </c>
      <c r="J87" s="62" t="n">
        <f aca="false">10+LOG10(SIN(RADIANS(D87+E87/60+F87/3600)))</f>
        <v>9.9028648633143</v>
      </c>
      <c r="K87" s="63" t="n">
        <f aca="false">(I87-J87)*10000000000</f>
        <v>-1.14303233544888</v>
      </c>
      <c r="L87" s="64" t="s">
        <v>100</v>
      </c>
      <c r="M87" s="64"/>
      <c r="N87" s="61" t="n">
        <v>3.9803519827</v>
      </c>
      <c r="O87" s="65" t="n">
        <f aca="false">O88+I87-I88</f>
        <v>3.9803519824</v>
      </c>
      <c r="P87" s="66" t="n">
        <f aca="false">IF(N87="","",(O87-N87)*10000000000)</f>
        <v>-3.00001357089741</v>
      </c>
      <c r="Q87" s="59" t="n">
        <v>0</v>
      </c>
      <c r="R87" s="62" t="n">
        <f aca="false">I87-COS(RADIANS(D87+E87/60+F87/3600))/SIN(RADIANS(D87+E87/60+F87/3600))*RADIANS(Q87/3600)/LN(10)</f>
        <v>9.9028648632</v>
      </c>
      <c r="S87" s="65" t="n">
        <f aca="false">S88+R87-R88</f>
        <v>3.9803519824</v>
      </c>
      <c r="T87" s="65" t="n">
        <f aca="false">T88+J87-J88</f>
        <v>3.98035198264689</v>
      </c>
      <c r="U87" s="67" t="n">
        <f aca="false">Summary!$C$6*ASIN(10^O87/Summary!$C$6)</f>
        <v>9557.68255396791</v>
      </c>
      <c r="V87" s="68" t="n">
        <v>9557.6826</v>
      </c>
      <c r="W87" s="69" t="n">
        <f aca="false">IF(V87="","",(V87-U87)*Summary!$C$7*1000)</f>
        <v>0.0897182380636253</v>
      </c>
      <c r="X87" s="70" t="n">
        <f aca="false">U87*Summary!$C$7</f>
        <v>18628.2730275079</v>
      </c>
      <c r="Y87" s="64"/>
    </row>
    <row r="88" customFormat="false" ht="15" hidden="false" customHeight="false" outlineLevel="0" collapsed="false">
      <c r="A88" s="72" t="n">
        <v>28</v>
      </c>
      <c r="B88" s="72" t="s">
        <v>172</v>
      </c>
      <c r="C88" s="72" t="s">
        <v>167</v>
      </c>
      <c r="D88" s="73" t="n">
        <v>77</v>
      </c>
      <c r="E88" s="73" t="n">
        <v>35</v>
      </c>
      <c r="F88" s="74" t="n">
        <v>36</v>
      </c>
      <c r="G88" s="74" t="n">
        <v>0.33</v>
      </c>
      <c r="H88" s="75" t="n">
        <v>9.9897377474</v>
      </c>
      <c r="I88" s="76" t="n">
        <f aca="false">H88</f>
        <v>9.9897377474</v>
      </c>
      <c r="J88" s="76" t="n">
        <f aca="false">10+LOG10(SIN(RADIANS(D88+E88/60+F88/3600)))</f>
        <v>9.98973774760475</v>
      </c>
      <c r="K88" s="77" t="n">
        <f aca="false">(I88-J88)*10000000000</f>
        <v>-2.04748218379791</v>
      </c>
      <c r="L88" s="78" t="s">
        <v>103</v>
      </c>
      <c r="M88" s="78" t="n">
        <v>27</v>
      </c>
      <c r="N88" s="79"/>
      <c r="O88" s="79" t="n">
        <f aca="false">O83</f>
        <v>4.0672248666</v>
      </c>
      <c r="P88" s="80"/>
      <c r="Q88" s="73" t="n">
        <v>0</v>
      </c>
      <c r="R88" s="76" t="n">
        <f aca="false">I88-COS(RADIANS(D88+E88/60+F88/3600))/SIN(RADIANS(D88+E88/60+F88/3600))*RADIANS(Q88/3600)/LN(10)</f>
        <v>9.9897377474</v>
      </c>
      <c r="S88" s="79" t="n">
        <f aca="false">S83</f>
        <v>4.0672248666</v>
      </c>
      <c r="T88" s="79" t="n">
        <f aca="false">T83</f>
        <v>4.06722486693734</v>
      </c>
      <c r="U88" s="81"/>
      <c r="V88" s="81"/>
      <c r="W88" s="82"/>
      <c r="X88" s="83"/>
      <c r="Y88" s="78"/>
    </row>
    <row r="89" customFormat="false" ht="15" hidden="false" customHeight="false" outlineLevel="0" collapsed="false">
      <c r="A89" s="5" t="n">
        <v>29</v>
      </c>
      <c r="B89" s="5" t="s">
        <v>159</v>
      </c>
      <c r="C89" s="5" t="s">
        <v>171</v>
      </c>
      <c r="D89" s="38" t="n">
        <v>32</v>
      </c>
      <c r="E89" s="38" t="n">
        <v>49</v>
      </c>
      <c r="F89" s="30" t="n">
        <v>39.79</v>
      </c>
      <c r="G89" s="30" t="n">
        <v>0.13</v>
      </c>
      <c r="H89" s="16" t="n">
        <v>9.7340912713</v>
      </c>
      <c r="I89" s="12" t="n">
        <f aca="false">H89</f>
        <v>9.7340912713</v>
      </c>
      <c r="J89" s="12" t="n">
        <f aca="false">10+LOG10(SIN(RADIANS(D89+E89/60+F89/3600)))</f>
        <v>9.73409127132303</v>
      </c>
      <c r="K89" s="25" t="n">
        <f aca="false">(I89-J89)*10000000000</f>
        <v>-0.230286900659848</v>
      </c>
      <c r="L89" s="39" t="s">
        <v>100</v>
      </c>
      <c r="N89" s="16" t="n">
        <v>3.9803257844</v>
      </c>
      <c r="O89" s="40" t="n">
        <f aca="false">O91+I89-I91</f>
        <v>3.9803257841</v>
      </c>
      <c r="P89" s="41" t="n">
        <f aca="false">IF(N89="","",(O89-N89)*10000000000)</f>
        <v>-3.00000468911321</v>
      </c>
      <c r="Q89" s="38" t="n">
        <v>0</v>
      </c>
      <c r="R89" s="12" t="n">
        <f aca="false">I89-COS(RADIANS(D89+E89/60+F89/3600))/SIN(RADIANS(D89+E89/60+F89/3600))*RADIANS(Q89/3600)/LN(10)</f>
        <v>9.7340912713</v>
      </c>
      <c r="S89" s="40" t="n">
        <f aca="false">S91+R89-R91</f>
        <v>3.9803257841</v>
      </c>
      <c r="T89" s="40" t="n">
        <f aca="false">T91+J89-J91</f>
        <v>3.98032578405774</v>
      </c>
      <c r="U89" s="42" t="n">
        <f aca="false">Summary!$C$6*ASIN(10^O89/Summary!$C$6)</f>
        <v>9557.10601383834</v>
      </c>
      <c r="V89" s="15" t="n">
        <v>9557.106</v>
      </c>
      <c r="W89" s="43" t="n">
        <f aca="false">IF(V89="","",(V89-U89)*Summary!$C$7*1000)</f>
        <v>-0.026971435033176</v>
      </c>
      <c r="X89" s="44" t="n">
        <f aca="false">U89*Summary!$C$7</f>
        <v>18627.1493296989</v>
      </c>
      <c r="Y89" s="26" t="n">
        <f aca="false">(D89+D90+D91-180)*3600+(E89+E90+E91)*60+F89+F90+F91-(G89+G90+G91)</f>
        <v>-1.22124532708767E-014</v>
      </c>
    </row>
    <row r="90" customFormat="false" ht="15" hidden="false" customHeight="false" outlineLevel="0" collapsed="false">
      <c r="A90" s="5" t="n">
        <v>29</v>
      </c>
      <c r="B90" s="5" t="s">
        <v>166</v>
      </c>
      <c r="C90" s="5" t="s">
        <v>173</v>
      </c>
      <c r="D90" s="38" t="n">
        <v>107</v>
      </c>
      <c r="E90" s="38" t="n">
        <v>51</v>
      </c>
      <c r="F90" s="30" t="n">
        <v>26.38</v>
      </c>
      <c r="G90" s="30" t="n">
        <v>0.74</v>
      </c>
      <c r="H90" s="16" t="n">
        <v>9.9785562177</v>
      </c>
      <c r="I90" s="12" t="n">
        <f aca="false">H90</f>
        <v>9.9785562177</v>
      </c>
      <c r="J90" s="12" t="n">
        <f aca="false">10+LOG10(SIN(RADIANS(D90+E90/60+F90/3600)))</f>
        <v>9.97855621784008</v>
      </c>
      <c r="K90" s="25" t="n">
        <f aca="false">(I90-J90)*10000000000</f>
        <v>-1.40081723998264</v>
      </c>
      <c r="L90" s="39" t="s">
        <v>100</v>
      </c>
      <c r="N90" s="16" t="n">
        <v>4.2247907308</v>
      </c>
      <c r="O90" s="40" t="n">
        <f aca="false">O91+I90-I91</f>
        <v>4.2247907305</v>
      </c>
      <c r="P90" s="41" t="n">
        <f aca="false">IF(N90="","",(O90-N90)*10000000000)</f>
        <v>-3.00000913000531</v>
      </c>
      <c r="Q90" s="38" t="n">
        <v>0</v>
      </c>
      <c r="R90" s="12" t="n">
        <f aca="false">I90-COS(RADIANS(D90+E90/60+F90/3600))/SIN(RADIANS(D90+E90/60+F90/3600))*RADIANS(Q90/3600)/LN(10)</f>
        <v>9.9785562177</v>
      </c>
      <c r="S90" s="40" t="n">
        <f aca="false">S91+R90-R91</f>
        <v>4.2247907305</v>
      </c>
      <c r="T90" s="40" t="n">
        <f aca="false">T91+J90-J91</f>
        <v>4.22479073057479</v>
      </c>
      <c r="U90" s="42" t="n">
        <f aca="false">Summary!$C$6*ASIN(10^O90/Summary!$C$6)</f>
        <v>16780.0264088441</v>
      </c>
      <c r="V90" s="15" t="n">
        <v>16780.0264</v>
      </c>
      <c r="W90" s="43" t="n">
        <f aca="false">IF(V90="","",(V90-U90)*Summary!$C$7*1000)</f>
        <v>-0.0172375333930393</v>
      </c>
      <c r="X90" s="44" t="n">
        <f aca="false">U90*Summary!$C$7</f>
        <v>32704.8854769686</v>
      </c>
    </row>
    <row r="91" customFormat="false" ht="15" hidden="false" customHeight="false" outlineLevel="0" collapsed="false">
      <c r="A91" s="45" t="n">
        <v>29</v>
      </c>
      <c r="B91" s="45" t="s">
        <v>172</v>
      </c>
      <c r="C91" s="45" t="s">
        <v>165</v>
      </c>
      <c r="D91" s="46" t="n">
        <v>39</v>
      </c>
      <c r="E91" s="46" t="n">
        <v>18</v>
      </c>
      <c r="F91" s="47" t="n">
        <v>54.82</v>
      </c>
      <c r="G91" s="47" t="n">
        <v>0.12</v>
      </c>
      <c r="H91" s="48" t="n">
        <v>9.8018059267</v>
      </c>
      <c r="I91" s="49" t="n">
        <f aca="false">H91</f>
        <v>9.8018059267</v>
      </c>
      <c r="J91" s="49" t="n">
        <f aca="false">10+LOG10(SIN(RADIANS(D91+E91/60+F91/3600)))</f>
        <v>9.8018059270644</v>
      </c>
      <c r="K91" s="50" t="n">
        <f aca="false">(I91-J91)*10000000000</f>
        <v>-3.64401842034567</v>
      </c>
      <c r="L91" s="51" t="s">
        <v>103</v>
      </c>
      <c r="M91" s="51" t="n">
        <v>26</v>
      </c>
      <c r="N91" s="52"/>
      <c r="O91" s="52" t="n">
        <f aca="false">O81</f>
        <v>4.0480404395</v>
      </c>
      <c r="P91" s="53"/>
      <c r="Q91" s="46" t="n">
        <v>0</v>
      </c>
      <c r="R91" s="49" t="n">
        <f aca="false">I91-COS(RADIANS(D91+E91/60+F91/3600))/SIN(RADIANS(D91+E91/60+F91/3600))*RADIANS(Q91/3600)/LN(10)</f>
        <v>9.8018059267</v>
      </c>
      <c r="S91" s="52" t="n">
        <f aca="false">S81</f>
        <v>4.0480404395</v>
      </c>
      <c r="T91" s="52" t="n">
        <f aca="false">T81</f>
        <v>4.04804043979912</v>
      </c>
      <c r="U91" s="54"/>
      <c r="V91" s="54"/>
      <c r="W91" s="56"/>
      <c r="X91" s="57"/>
      <c r="Y91" s="51"/>
    </row>
    <row r="92" customFormat="false" ht="15" hidden="false" customHeight="false" outlineLevel="0" collapsed="false">
      <c r="A92" s="58" t="n">
        <v>30</v>
      </c>
      <c r="B92" s="58" t="s">
        <v>166</v>
      </c>
      <c r="C92" s="58" t="s">
        <v>174</v>
      </c>
      <c r="D92" s="59" t="n">
        <v>54</v>
      </c>
      <c r="E92" s="59" t="n">
        <v>39</v>
      </c>
      <c r="F92" s="60" t="n">
        <v>57.66</v>
      </c>
      <c r="G92" s="60" t="n">
        <v>0.33</v>
      </c>
      <c r="H92" s="61" t="n">
        <v>9.9115808831</v>
      </c>
      <c r="I92" s="62" t="n">
        <f aca="false">H92</f>
        <v>9.9115808831</v>
      </c>
      <c r="J92" s="62" t="n">
        <f aca="false">10+LOG10(SIN(RADIANS(D92+E92/60+F92/3600)))</f>
        <v>9.91158088323199</v>
      </c>
      <c r="K92" s="63" t="n">
        <f aca="false">(I92-J92)*10000000000</f>
        <v>-1.31986865881117</v>
      </c>
      <c r="L92" s="64" t="s">
        <v>100</v>
      </c>
      <c r="M92" s="64"/>
      <c r="N92" s="61" t="n">
        <v>4.1064038258</v>
      </c>
      <c r="O92" s="65" t="n">
        <f aca="false">O94+I92-I94</f>
        <v>4.1064038255</v>
      </c>
      <c r="P92" s="66" t="n">
        <f aca="false">IF(N92="","",(O92-N92)*10000000000)</f>
        <v>-3.0000268935737</v>
      </c>
      <c r="Q92" s="59" t="n">
        <v>0</v>
      </c>
      <c r="R92" s="62" t="n">
        <f aca="false">I92-COS(RADIANS(D92+E92/60+F92/3600))/SIN(RADIANS(D92+E92/60+F92/3600))*RADIANS(Q92/3600)/LN(10)</f>
        <v>9.9115808831</v>
      </c>
      <c r="S92" s="65" t="n">
        <f aca="false">S94+R92-R94</f>
        <v>4.1064038255</v>
      </c>
      <c r="T92" s="65" t="n">
        <f aca="false">T94+J92-J94</f>
        <v>4.10640382548488</v>
      </c>
      <c r="U92" s="67" t="n">
        <f aca="false">Summary!$C$6*ASIN(10^O92/Summary!$C$6)</f>
        <v>12776.295045355</v>
      </c>
      <c r="V92" s="68" t="n">
        <v>12776.2951</v>
      </c>
      <c r="W92" s="69" t="n">
        <f aca="false">IF(V92="","",(V92-U92)*Summary!$C$7*1000)</f>
        <v>0.106505149035395</v>
      </c>
      <c r="X92" s="70" t="n">
        <f aca="false">U92*Summary!$C$7</f>
        <v>24901.466547041</v>
      </c>
      <c r="Y92" s="71" t="n">
        <f aca="false">(D92+D93+D94-180)*3600+(E92+E93+E94)*60+F92+F93+F94-(G92+G93+G94)</f>
        <v>0</v>
      </c>
    </row>
    <row r="93" customFormat="false" ht="15" hidden="false" customHeight="false" outlineLevel="0" collapsed="false">
      <c r="A93" s="58" t="n">
        <v>30</v>
      </c>
      <c r="B93" s="58" t="s">
        <v>172</v>
      </c>
      <c r="C93" s="58" t="s">
        <v>175</v>
      </c>
      <c r="D93" s="59" t="n">
        <v>87</v>
      </c>
      <c r="E93" s="59" t="n">
        <v>43</v>
      </c>
      <c r="F93" s="60" t="n">
        <v>28.46</v>
      </c>
      <c r="G93" s="60" t="n">
        <v>0.56</v>
      </c>
      <c r="H93" s="61" t="n">
        <v>9.9996574299</v>
      </c>
      <c r="I93" s="62" t="n">
        <f aca="false">H93</f>
        <v>9.9996574299</v>
      </c>
      <c r="J93" s="62" t="n">
        <f aca="false">10+LOG10(SIN(RADIANS(D93+E93/60+F93/3600)))</f>
        <v>9.99965742997854</v>
      </c>
      <c r="K93" s="63" t="n">
        <f aca="false">(I93-J93)*10000000000</f>
        <v>-0.785416176540821</v>
      </c>
      <c r="L93" s="64" t="s">
        <v>100</v>
      </c>
      <c r="M93" s="64"/>
      <c r="N93" s="61" t="n">
        <v>4.1944803726</v>
      </c>
      <c r="O93" s="65" t="n">
        <f aca="false">O94+I93-I94</f>
        <v>4.1944803723</v>
      </c>
      <c r="P93" s="66" t="n">
        <f aca="false">IF(N93="","",(O93-N93)*10000000000)</f>
        <v>-3.0000268935737</v>
      </c>
      <c r="Q93" s="59" t="n">
        <v>0</v>
      </c>
      <c r="R93" s="62" t="n">
        <f aca="false">I93-COS(RADIANS(D93+E93/60+F93/3600))/SIN(RADIANS(D93+E93/60+F93/3600))*RADIANS(Q93/3600)/LN(10)</f>
        <v>9.9996574299</v>
      </c>
      <c r="S93" s="65" t="n">
        <f aca="false">S94+R93-R94</f>
        <v>4.1944803723</v>
      </c>
      <c r="T93" s="65" t="n">
        <f aca="false">T94+J93-J94</f>
        <v>4.19448037223144</v>
      </c>
      <c r="U93" s="67" t="n">
        <f aca="false">Summary!$C$6*ASIN(10^O93/Summary!$C$6)</f>
        <v>15648.8357788776</v>
      </c>
      <c r="V93" s="68" t="n">
        <v>15648.8358</v>
      </c>
      <c r="W93" s="69" t="n">
        <f aca="false">IF(V93="","",(V93-U93)*Summary!$C$7*1000)</f>
        <v>0.0411682482380318</v>
      </c>
      <c r="X93" s="70" t="n">
        <f aca="false">U93*Summary!$C$7</f>
        <v>30500.1535472158</v>
      </c>
      <c r="Y93" s="64"/>
    </row>
    <row r="94" customFormat="false" ht="15" hidden="false" customHeight="false" outlineLevel="0" collapsed="false">
      <c r="A94" s="72" t="n">
        <v>30</v>
      </c>
      <c r="B94" s="72" t="s">
        <v>176</v>
      </c>
      <c r="C94" s="72" t="s">
        <v>171</v>
      </c>
      <c r="D94" s="73" t="n">
        <v>37</v>
      </c>
      <c r="E94" s="73" t="n">
        <v>36</v>
      </c>
      <c r="F94" s="74" t="n">
        <v>35.07</v>
      </c>
      <c r="G94" s="74" t="n">
        <v>0.3</v>
      </c>
      <c r="H94" s="75" t="n">
        <v>9.78552904</v>
      </c>
      <c r="I94" s="76" t="n">
        <f aca="false">H94</f>
        <v>9.78552904</v>
      </c>
      <c r="J94" s="76" t="n">
        <f aca="false">10+LOG10(SIN(RADIANS(D94+E94/60+F94/3600)))</f>
        <v>9.785529040394</v>
      </c>
      <c r="K94" s="77" t="n">
        <f aca="false">(I94-J94)*10000000000</f>
        <v>-3.93999499692654</v>
      </c>
      <c r="L94" s="78" t="s">
        <v>103</v>
      </c>
      <c r="M94" s="78" t="n">
        <v>28</v>
      </c>
      <c r="N94" s="79"/>
      <c r="O94" s="79" t="n">
        <f aca="false">O87</f>
        <v>3.9803519824</v>
      </c>
      <c r="P94" s="80"/>
      <c r="Q94" s="73" t="n">
        <v>0</v>
      </c>
      <c r="R94" s="76" t="n">
        <f aca="false">I94-COS(RADIANS(D94+E94/60+F94/3600))/SIN(RADIANS(D94+E94/60+F94/3600))*RADIANS(Q94/3600)/LN(10)</f>
        <v>9.78552904</v>
      </c>
      <c r="S94" s="79" t="n">
        <f aca="false">S87</f>
        <v>3.9803519824</v>
      </c>
      <c r="T94" s="79" t="n">
        <f aca="false">T87</f>
        <v>3.98035198264689</v>
      </c>
      <c r="U94" s="81"/>
      <c r="V94" s="81"/>
      <c r="W94" s="82"/>
      <c r="X94" s="83"/>
      <c r="Y94" s="78"/>
    </row>
    <row r="95" customFormat="false" ht="15" hidden="false" customHeight="false" outlineLevel="0" collapsed="false">
      <c r="A95" s="5" t="n">
        <v>31</v>
      </c>
      <c r="B95" s="5" t="s">
        <v>172</v>
      </c>
      <c r="C95" s="5" t="s">
        <v>177</v>
      </c>
      <c r="D95" s="38" t="n">
        <v>62</v>
      </c>
      <c r="E95" s="38" t="n">
        <v>36</v>
      </c>
      <c r="F95" s="30" t="n">
        <v>58.37</v>
      </c>
      <c r="G95" s="30" t="n">
        <v>0.45</v>
      </c>
      <c r="H95" s="16" t="n">
        <v>9.9483863494</v>
      </c>
      <c r="I95" s="12" t="n">
        <f aca="false">H95</f>
        <v>9.9483863494</v>
      </c>
      <c r="J95" s="12" t="n">
        <f aca="false">10+LOG10(SIN(RADIANS(D95+E95/60+F95/3600)))</f>
        <v>9.94838634954132</v>
      </c>
      <c r="K95" s="25" t="n">
        <f aca="false">(I95-J95)*10000000000</f>
        <v>-1.41323397429005</v>
      </c>
      <c r="L95" s="39" t="s">
        <v>100</v>
      </c>
      <c r="N95" s="16" t="n">
        <v>4.1127680883</v>
      </c>
      <c r="O95" s="40" t="n">
        <f aca="false">O97+I95-I97</f>
        <v>4.1127680881</v>
      </c>
      <c r="P95" s="41" t="n">
        <f aca="false">IF(N95="","",(O95-N95)*10000000000)</f>
        <v>-2.00002681083333</v>
      </c>
      <c r="Q95" s="38" t="n">
        <v>0</v>
      </c>
      <c r="R95" s="12" t="n">
        <f aca="false">I95-COS(RADIANS(D95+E95/60+F95/3600))/SIN(RADIANS(D95+E95/60+F95/3600))*RADIANS(Q95/3600)/LN(10)</f>
        <v>9.9483863494</v>
      </c>
      <c r="S95" s="40" t="n">
        <f aca="false">S97+R95-R97</f>
        <v>4.1127680881</v>
      </c>
      <c r="T95" s="40" t="n">
        <f aca="false">T97+J95-J97</f>
        <v>4.11276808797503</v>
      </c>
      <c r="U95" s="42" t="n">
        <f aca="false">Summary!$C$6*ASIN(10^O95/Summary!$C$6)</f>
        <v>12964.9016916616</v>
      </c>
      <c r="V95" s="15" t="n">
        <v>12964.9017</v>
      </c>
      <c r="W95" s="43" t="n">
        <f aca="false">IF(V95="","",(V95-U95)*Summary!$C$7*1000)</f>
        <v>0.0162519428676054</v>
      </c>
      <c r="X95" s="44" t="n">
        <f aca="false">U95*Summary!$C$7</f>
        <v>25269.0678020903</v>
      </c>
      <c r="Y95" s="26" t="n">
        <f aca="false">(D95+D96+D97-180)*3600+(E95+E96+E97)*60+F95+F96+F97-(G95+G96+G97)</f>
        <v>0</v>
      </c>
    </row>
    <row r="96" customFormat="false" ht="15" hidden="false" customHeight="false" outlineLevel="0" collapsed="false">
      <c r="A96" s="5" t="n">
        <v>31</v>
      </c>
      <c r="B96" s="5" t="s">
        <v>176</v>
      </c>
      <c r="C96" s="5" t="s">
        <v>178</v>
      </c>
      <c r="D96" s="38" t="n">
        <v>56</v>
      </c>
      <c r="E96" s="38" t="n">
        <v>20</v>
      </c>
      <c r="F96" s="30" t="n">
        <v>9</v>
      </c>
      <c r="G96" s="30" t="n">
        <v>0.43</v>
      </c>
      <c r="H96" s="16" t="n">
        <v>9.9202803977</v>
      </c>
      <c r="I96" s="12" t="n">
        <f aca="false">H96</f>
        <v>9.9202803977</v>
      </c>
      <c r="J96" s="12" t="n">
        <f aca="false">10+LOG10(SIN(RADIANS(D96+E96/60+F96/3600)))</f>
        <v>9.92028039788941</v>
      </c>
      <c r="K96" s="25" t="n">
        <f aca="false">(I96-J96)*10000000000</f>
        <v>-1.89412929785249</v>
      </c>
      <c r="L96" s="39" t="s">
        <v>100</v>
      </c>
      <c r="N96" s="16" t="n">
        <v>4.0846621367</v>
      </c>
      <c r="O96" s="40" t="n">
        <f aca="false">O97+I96-I97</f>
        <v>4.0846621364</v>
      </c>
      <c r="P96" s="41" t="n">
        <f aca="false">IF(N96="","",(O96-N96)*10000000000)</f>
        <v>-3.0000268935737</v>
      </c>
      <c r="Q96" s="38" t="n">
        <v>0</v>
      </c>
      <c r="R96" s="12" t="n">
        <f aca="false">I96-COS(RADIANS(D96+E96/60+F96/3600))/SIN(RADIANS(D96+E96/60+F96/3600))*RADIANS(Q96/3600)/LN(10)</f>
        <v>9.9202803977</v>
      </c>
      <c r="S96" s="40" t="n">
        <f aca="false">S97+R96-R97</f>
        <v>4.0846621364</v>
      </c>
      <c r="T96" s="40" t="n">
        <f aca="false">T97+J96-J97</f>
        <v>4.08466213632311</v>
      </c>
      <c r="U96" s="42" t="n">
        <f aca="false">Summary!$C$6*ASIN(10^O96/Summary!$C$6)</f>
        <v>12152.4302735108</v>
      </c>
      <c r="V96" s="15" t="n">
        <v>12152.43</v>
      </c>
      <c r="W96" s="43" t="n">
        <f aca="false">IF(V96="","",(V96-U96)*Summary!$C$7*1000)</f>
        <v>-0.533082506098289</v>
      </c>
      <c r="X96" s="44" t="n">
        <f aca="false">U96*Summary!$C$7</f>
        <v>23685.5312785765</v>
      </c>
    </row>
    <row r="97" customFormat="false" ht="15" hidden="false" customHeight="false" outlineLevel="0" collapsed="false">
      <c r="A97" s="45" t="n">
        <v>31</v>
      </c>
      <c r="B97" s="45" t="s">
        <v>179</v>
      </c>
      <c r="C97" s="45" t="s">
        <v>174</v>
      </c>
      <c r="D97" s="46" t="n">
        <v>61</v>
      </c>
      <c r="E97" s="46" t="n">
        <v>2</v>
      </c>
      <c r="F97" s="47" t="n">
        <v>53.96</v>
      </c>
      <c r="G97" s="47" t="n">
        <v>0.45</v>
      </c>
      <c r="H97" s="48" t="n">
        <v>9.9420220868</v>
      </c>
      <c r="I97" s="49" t="n">
        <f aca="false">H97</f>
        <v>9.9420220868</v>
      </c>
      <c r="J97" s="49" t="n">
        <f aca="false">10+LOG10(SIN(RADIANS(D97+E97/60+F97/3600)))</f>
        <v>9.94202208705118</v>
      </c>
      <c r="K97" s="50" t="n">
        <f aca="false">(I97-J97)*10000000000</f>
        <v>-2.51178633448035</v>
      </c>
      <c r="L97" s="51" t="s">
        <v>103</v>
      </c>
      <c r="M97" s="51" t="n">
        <v>30</v>
      </c>
      <c r="N97" s="52"/>
      <c r="O97" s="52" t="n">
        <f aca="false">O92</f>
        <v>4.1064038255</v>
      </c>
      <c r="P97" s="53"/>
      <c r="Q97" s="46" t="n">
        <v>0</v>
      </c>
      <c r="R97" s="49" t="n">
        <f aca="false">I97-COS(RADIANS(D97+E97/60+F97/3600))/SIN(RADIANS(D97+E97/60+F97/3600))*RADIANS(Q97/3600)/LN(10)</f>
        <v>9.9420220868</v>
      </c>
      <c r="S97" s="52" t="n">
        <f aca="false">S92</f>
        <v>4.1064038255</v>
      </c>
      <c r="T97" s="52" t="n">
        <f aca="false">T92</f>
        <v>4.10640382548488</v>
      </c>
      <c r="U97" s="54"/>
      <c r="V97" s="54"/>
      <c r="W97" s="56"/>
      <c r="X97" s="57"/>
      <c r="Y97" s="51"/>
    </row>
    <row r="98" customFormat="false" ht="15" hidden="false" customHeight="false" outlineLevel="0" collapsed="false">
      <c r="A98" s="58" t="n">
        <v>32</v>
      </c>
      <c r="B98" s="58" t="s">
        <v>166</v>
      </c>
      <c r="C98" s="58" t="s">
        <v>180</v>
      </c>
      <c r="D98" s="59" t="n">
        <v>38</v>
      </c>
      <c r="E98" s="59" t="n">
        <v>1</v>
      </c>
      <c r="F98" s="60" t="n">
        <v>22.43</v>
      </c>
      <c r="G98" s="60" t="n">
        <v>0.43</v>
      </c>
      <c r="H98" s="61" t="n">
        <v>9.789564031</v>
      </c>
      <c r="I98" s="62" t="n">
        <f aca="false">H98</f>
        <v>9.789564031</v>
      </c>
      <c r="J98" s="62" t="n">
        <f aca="false">10+LOG10(SIN(RADIANS(D98+E98/60+F98/3600)))</f>
        <v>9.78956403127219</v>
      </c>
      <c r="K98" s="63" t="n">
        <f aca="false">(I98-J98)*10000000000</f>
        <v>-2.72185829430782</v>
      </c>
      <c r="L98" s="64" t="s">
        <v>100</v>
      </c>
      <c r="M98" s="64"/>
      <c r="N98" s="61" t="n">
        <v>4.1127546396</v>
      </c>
      <c r="O98" s="65" t="n">
        <f aca="false">O99+I98-I99</f>
        <v>4.1127546393</v>
      </c>
      <c r="P98" s="66" t="n">
        <f aca="false">IF(N98="","",(O98-N98)*10000000000)</f>
        <v>-3.0000357753579</v>
      </c>
      <c r="Q98" s="59" t="n">
        <v>0</v>
      </c>
      <c r="R98" s="62" t="n">
        <f aca="false">I98-COS(RADIANS(D98+E98/60+F98/3600))/SIN(RADIANS(D98+E98/60+F98/3600))*RADIANS(Q98/3600)/LN(10)</f>
        <v>9.789564031</v>
      </c>
      <c r="S98" s="65" t="n">
        <f aca="false">S99+R98-R99</f>
        <v>4.1127546393</v>
      </c>
      <c r="T98" s="65" t="n">
        <f aca="false">T99+J98-J99</f>
        <v>4.11275463919476</v>
      </c>
      <c r="U98" s="67" t="n">
        <f aca="false">Summary!$C$6*ASIN(10^O98/Summary!$C$6)</f>
        <v>12964.5002115767</v>
      </c>
      <c r="V98" s="68" t="n">
        <v>12964.5002</v>
      </c>
      <c r="W98" s="69" t="n">
        <f aca="false">IF(V98="","",(V98-U98)*Summary!$C$7*1000)</f>
        <v>-0.0225634610794083</v>
      </c>
      <c r="X98" s="70" t="n">
        <f aca="false">U98*Summary!$C$7</f>
        <v>25268.2853027142</v>
      </c>
      <c r="Y98" s="71" t="n">
        <f aca="false">(D98+D99+D100-180)*3600+(E98+E99+E100)*60+F98+F99+F100-(G98+G99+G100)</f>
        <v>0</v>
      </c>
    </row>
    <row r="99" customFormat="false" ht="15" hidden="false" customHeight="false" outlineLevel="0" collapsed="false">
      <c r="A99" s="58" t="n">
        <v>32</v>
      </c>
      <c r="B99" s="58" t="s">
        <v>179</v>
      </c>
      <c r="C99" s="58" t="s">
        <v>175</v>
      </c>
      <c r="D99" s="59" t="n">
        <v>48</v>
      </c>
      <c r="E99" s="59" t="n">
        <v>1</v>
      </c>
      <c r="F99" s="60" t="n">
        <v>54.16</v>
      </c>
      <c r="G99" s="60" t="n">
        <v>0.48</v>
      </c>
      <c r="H99" s="61" t="n">
        <v>9.871289764</v>
      </c>
      <c r="I99" s="62" t="n">
        <f aca="false">H99</f>
        <v>9.871289764</v>
      </c>
      <c r="J99" s="62" t="n">
        <f aca="false">10+LOG10(SIN(RADIANS(D99+E99/60+F99/3600)))</f>
        <v>9.87128976430887</v>
      </c>
      <c r="K99" s="63" t="n">
        <f aca="false">(I99-J99)*10000000000</f>
        <v>-3.08865821807558</v>
      </c>
      <c r="L99" s="64" t="s">
        <v>103</v>
      </c>
      <c r="M99" s="64" t="n">
        <v>30</v>
      </c>
      <c r="N99" s="65"/>
      <c r="O99" s="65" t="n">
        <f aca="false">O93</f>
        <v>4.1944803723</v>
      </c>
      <c r="P99" s="66"/>
      <c r="Q99" s="59" t="n">
        <v>0</v>
      </c>
      <c r="R99" s="62" t="n">
        <f aca="false">I99-COS(RADIANS(D99+E99/60+F99/3600))/SIN(RADIANS(D99+E99/60+F99/3600))*RADIANS(Q99/3600)/LN(10)</f>
        <v>9.871289764</v>
      </c>
      <c r="S99" s="65" t="n">
        <f aca="false">S93</f>
        <v>4.1944803723</v>
      </c>
      <c r="T99" s="65" t="n">
        <f aca="false">T93</f>
        <v>4.19448037223144</v>
      </c>
      <c r="U99" s="67"/>
      <c r="V99" s="67"/>
      <c r="W99" s="69"/>
      <c r="X99" s="70"/>
      <c r="Y99" s="64"/>
    </row>
    <row r="100" customFormat="false" ht="15" hidden="false" customHeight="false" outlineLevel="0" collapsed="false">
      <c r="A100" s="72" t="n">
        <v>32</v>
      </c>
      <c r="B100" s="72" t="s">
        <v>176</v>
      </c>
      <c r="C100" s="72" t="s">
        <v>181</v>
      </c>
      <c r="D100" s="73" t="n">
        <v>93</v>
      </c>
      <c r="E100" s="73" t="n">
        <v>56</v>
      </c>
      <c r="F100" s="74" t="n">
        <v>45.33</v>
      </c>
      <c r="G100" s="74" t="n">
        <v>1.01</v>
      </c>
      <c r="H100" s="75" t="n">
        <v>9.9989692568</v>
      </c>
      <c r="I100" s="76" t="n">
        <f aca="false">H100</f>
        <v>9.9989692568</v>
      </c>
      <c r="J100" s="76" t="n">
        <f aca="false">10+LOG10(SIN(RADIANS(D100+E100/60+F100/3600)))</f>
        <v>9.99896925719564</v>
      </c>
      <c r="K100" s="77" t="n">
        <f aca="false">(I100-J100)*10000000000</f>
        <v>-3.95639077055421</v>
      </c>
      <c r="L100" s="78" t="s">
        <v>100</v>
      </c>
      <c r="M100" s="78"/>
      <c r="N100" s="75" t="n">
        <v>4.3221598655</v>
      </c>
      <c r="O100" s="79" t="n">
        <f aca="false">O99+I100-I99</f>
        <v>4.3221598651</v>
      </c>
      <c r="P100" s="80" t="n">
        <f aca="false">IF(N100="","",(O100-N100)*10000000000)</f>
        <v>-4.00001809452988</v>
      </c>
      <c r="Q100" s="73" t="n">
        <v>0</v>
      </c>
      <c r="R100" s="76" t="n">
        <f aca="false">I100-COS(RADIANS(D100+E100/60+F100/3600))/SIN(RADIANS(D100+E100/60+F100/3600))*RADIANS(Q100/3600)/LN(10)</f>
        <v>9.9989692568</v>
      </c>
      <c r="S100" s="79" t="n">
        <f aca="false">S99+R100-R99</f>
        <v>4.3221598651</v>
      </c>
      <c r="T100" s="79" t="n">
        <f aca="false">T99+J100-J99</f>
        <v>4.32215986511821</v>
      </c>
      <c r="U100" s="81" t="n">
        <f aca="false">Summary!$C$6*ASIN(10^O100/Summary!$C$6)</f>
        <v>20997.2710752397</v>
      </c>
      <c r="V100" s="84" t="n">
        <v>20997.2711</v>
      </c>
      <c r="W100" s="82" t="n">
        <f aca="false">IF(V100="","",(V100-U100)*Summary!$C$7*1000)</f>
        <v>0.0482586992390804</v>
      </c>
      <c r="X100" s="83" t="n">
        <f aca="false">U100*Summary!$C$7</f>
        <v>40924.4496470304</v>
      </c>
      <c r="Y100" s="78"/>
    </row>
    <row r="101" customFormat="false" ht="15" hidden="false" customHeight="false" outlineLevel="0" collapsed="false">
      <c r="A101" s="5" t="n">
        <v>33</v>
      </c>
      <c r="B101" s="5" t="s">
        <v>166</v>
      </c>
      <c r="C101" s="5" t="s">
        <v>182</v>
      </c>
      <c r="D101" s="38" t="n">
        <v>65</v>
      </c>
      <c r="E101" s="38" t="n">
        <v>57</v>
      </c>
      <c r="F101" s="30" t="n">
        <v>33.31</v>
      </c>
      <c r="G101" s="30" t="n">
        <v>0.67</v>
      </c>
      <c r="H101" s="16" t="n">
        <v>9.9605925181</v>
      </c>
      <c r="I101" s="12" t="n">
        <f aca="false">H101</f>
        <v>9.9605925181</v>
      </c>
      <c r="J101" s="12" t="n">
        <f aca="false">10+LOG10(SIN(RADIANS(D101+E101/60+F101/3600)))</f>
        <v>9.96059251821021</v>
      </c>
      <c r="K101" s="25" t="n">
        <f aca="false">(I101-J101)*10000000000</f>
        <v>-1.1020873103007</v>
      </c>
      <c r="L101" s="39" t="s">
        <v>100</v>
      </c>
      <c r="N101" s="16" t="n">
        <v>4.2884299571</v>
      </c>
      <c r="O101" s="40" t="n">
        <f aca="false">O103+I101-I103</f>
        <v>4.2884299568</v>
      </c>
      <c r="P101" s="41" t="n">
        <f aca="false">IF(N101="","",(O101-N101)*10000000000)</f>
        <v>-3.00001801178951</v>
      </c>
      <c r="Q101" s="38" t="n">
        <v>0</v>
      </c>
      <c r="R101" s="12" t="n">
        <f aca="false">I101-COS(RADIANS(D101+E101/60+F101/3600))/SIN(RADIANS(D101+E101/60+F101/3600))*RADIANS(Q101/3600)/LN(10)</f>
        <v>9.9605925181</v>
      </c>
      <c r="S101" s="40" t="n">
        <f aca="false">S103+R101-R103</f>
        <v>4.2884299568</v>
      </c>
      <c r="T101" s="40" t="n">
        <f aca="false">T103+J101-J103</f>
        <v>4.28842995685894</v>
      </c>
      <c r="U101" s="42" t="n">
        <f aca="false">Summary!$C$6*ASIN(10^O101/Summary!$C$6)</f>
        <v>19428.1978066418</v>
      </c>
      <c r="V101" s="15" t="n">
        <v>19428.1978</v>
      </c>
      <c r="W101" s="43" t="n">
        <f aca="false">IF(V101="","",(V101-U101)*Summary!$C$7*1000)</f>
        <v>-0.0129451602833794</v>
      </c>
      <c r="X101" s="44" t="n">
        <f aca="false">U101*Summary!$C$7</f>
        <v>37866.2684318077</v>
      </c>
      <c r="Y101" s="26" t="n">
        <f aca="false">(D101+D102+D103-180)*3600+(E101+E102+E103)*60+F101+F102+F103-(G101+G102+G103)</f>
        <v>0</v>
      </c>
    </row>
    <row r="102" customFormat="false" ht="15" hidden="false" customHeight="false" outlineLevel="0" collapsed="false">
      <c r="A102" s="5" t="n">
        <v>33</v>
      </c>
      <c r="B102" s="5" t="s">
        <v>169</v>
      </c>
      <c r="C102" s="5" t="s">
        <v>181</v>
      </c>
      <c r="D102" s="38" t="n">
        <v>80</v>
      </c>
      <c r="E102" s="38" t="n">
        <v>45</v>
      </c>
      <c r="F102" s="30" t="n">
        <v>32.16</v>
      </c>
      <c r="G102" s="30" t="n">
        <v>0.91</v>
      </c>
      <c r="H102" s="16" t="n">
        <v>9.9943265762</v>
      </c>
      <c r="I102" s="12" t="n">
        <f aca="false">H102</f>
        <v>9.9943265762</v>
      </c>
      <c r="J102" s="12" t="n">
        <f aca="false">10+LOG10(SIN(RADIANS(D102+E102/60+F102/3600)))</f>
        <v>9.99432657632378</v>
      </c>
      <c r="K102" s="25" t="n">
        <f aca="false">(I102-J102)*10000000000</f>
        <v>-1.23783649996767</v>
      </c>
      <c r="L102" s="39" t="s">
        <v>100</v>
      </c>
      <c r="N102" s="16" t="n">
        <v>4.3221640152</v>
      </c>
      <c r="O102" s="40" t="n">
        <f aca="false">O103+I102-I103</f>
        <v>4.3221640149</v>
      </c>
      <c r="P102" s="41" t="n">
        <f aca="false">IF(N102="","",(O102-N102)*10000000000)</f>
        <v>-3.00001801178951</v>
      </c>
      <c r="Q102" s="38" t="n">
        <v>0</v>
      </c>
      <c r="R102" s="12" t="n">
        <f aca="false">I102-COS(RADIANS(D102+E102/60+F102/3600))/SIN(RADIANS(D102+E102/60+F102/3600))*RADIANS(Q102/3600)/LN(10)</f>
        <v>9.9943265762</v>
      </c>
      <c r="S102" s="40" t="n">
        <f aca="false">S103+R102-R103</f>
        <v>4.3221640149</v>
      </c>
      <c r="T102" s="40" t="n">
        <f aca="false">T103+J102-J103</f>
        <v>4.32216401497251</v>
      </c>
      <c r="U102" s="42" t="n">
        <f aca="false">Summary!$C$6*ASIN(10^O102/Summary!$C$6)</f>
        <v>20997.4717135053</v>
      </c>
      <c r="V102" s="15" t="n">
        <v>20997.4717</v>
      </c>
      <c r="W102" s="43" t="n">
        <f aca="false">IF(V102="","",(V102-U102)*Summary!$C$7*1000)</f>
        <v>-0.0263224047350812</v>
      </c>
      <c r="X102" s="44" t="n">
        <f aca="false">U102*Summary!$C$7</f>
        <v>40924.8406983517</v>
      </c>
    </row>
    <row r="103" customFormat="false" ht="15" hidden="false" customHeight="false" outlineLevel="0" collapsed="false">
      <c r="A103" s="45" t="n">
        <v>33</v>
      </c>
      <c r="B103" s="45" t="s">
        <v>179</v>
      </c>
      <c r="C103" s="45" t="s">
        <v>167</v>
      </c>
      <c r="D103" s="46" t="n">
        <v>33</v>
      </c>
      <c r="E103" s="46" t="n">
        <v>16</v>
      </c>
      <c r="F103" s="47" t="n">
        <v>56.7</v>
      </c>
      <c r="G103" s="47" t="n">
        <v>0.59</v>
      </c>
      <c r="H103" s="48" t="n">
        <v>9.7393874279</v>
      </c>
      <c r="I103" s="49" t="n">
        <f aca="false">H103</f>
        <v>9.7393874279</v>
      </c>
      <c r="J103" s="49" t="n">
        <f aca="false">10+LOG10(SIN(RADIANS(D103+E103/60+F103/3600)))</f>
        <v>9.73938742828861</v>
      </c>
      <c r="K103" s="50" t="n">
        <f aca="false">(I103-J103)*10000000000</f>
        <v>-3.88610033041914</v>
      </c>
      <c r="L103" s="51" t="s">
        <v>103</v>
      </c>
      <c r="M103" s="51" t="n">
        <v>27</v>
      </c>
      <c r="N103" s="52"/>
      <c r="O103" s="52" t="n">
        <f aca="false">O83</f>
        <v>4.0672248666</v>
      </c>
      <c r="P103" s="53"/>
      <c r="Q103" s="46" t="n">
        <v>0</v>
      </c>
      <c r="R103" s="49" t="n">
        <f aca="false">I103-COS(RADIANS(D103+E103/60+F103/3600))/SIN(RADIANS(D103+E103/60+F103/3600))*RADIANS(Q103/3600)/LN(10)</f>
        <v>9.7393874279</v>
      </c>
      <c r="S103" s="52" t="n">
        <f aca="false">S83</f>
        <v>4.0672248666</v>
      </c>
      <c r="T103" s="52" t="n">
        <f aca="false">T83</f>
        <v>4.06722486693734</v>
      </c>
      <c r="U103" s="54"/>
      <c r="V103" s="54"/>
      <c r="W103" s="56"/>
      <c r="X103" s="57"/>
      <c r="Y103" s="51"/>
    </row>
    <row r="104" customFormat="false" ht="15" hidden="false" customHeight="false" outlineLevel="0" collapsed="false">
      <c r="A104" s="58" t="n">
        <v>34</v>
      </c>
      <c r="B104" s="58" t="s">
        <v>169</v>
      </c>
      <c r="C104" s="58" t="s">
        <v>180</v>
      </c>
      <c r="D104" s="59" t="n">
        <v>36</v>
      </c>
      <c r="E104" s="59" t="n">
        <v>15</v>
      </c>
      <c r="F104" s="60" t="n">
        <v>48.57</v>
      </c>
      <c r="G104" s="60" t="n">
        <v>0.66</v>
      </c>
      <c r="H104" s="61" t="n">
        <v>9.7719544027</v>
      </c>
      <c r="I104" s="62" t="n">
        <f aca="false">H104</f>
        <v>9.7719544027</v>
      </c>
      <c r="J104" s="62" t="n">
        <f aca="false">10+LOG10(SIN(RADIANS(D104+E104/60+F104/3600)))</f>
        <v>9.77195440292991</v>
      </c>
      <c r="K104" s="63" t="n">
        <f aca="false">(I104-J104)*10000000000</f>
        <v>-2.29910313009896</v>
      </c>
      <c r="L104" s="64" t="s">
        <v>103</v>
      </c>
      <c r="M104" s="64" t="n">
        <v>31</v>
      </c>
      <c r="N104" s="65"/>
      <c r="O104" s="65" t="n">
        <f aca="false">O95</f>
        <v>4.1127680881</v>
      </c>
      <c r="P104" s="66"/>
      <c r="Q104" s="59" t="n">
        <v>0</v>
      </c>
      <c r="R104" s="62" t="n">
        <f aca="false">I104-COS(RADIANS(D104+E104/60+F104/3600))/SIN(RADIANS(D104+E104/60+F104/3600))*RADIANS(Q104/3600)/LN(10)</f>
        <v>9.7719544027</v>
      </c>
      <c r="S104" s="65" t="n">
        <f aca="false">S95</f>
        <v>4.1127680881</v>
      </c>
      <c r="T104" s="65" t="n">
        <f aca="false">T95</f>
        <v>4.11276808797503</v>
      </c>
      <c r="U104" s="67"/>
      <c r="V104" s="67"/>
      <c r="W104" s="69"/>
      <c r="X104" s="70"/>
      <c r="Y104" s="71" t="n">
        <f aca="false">(D104+D105+D106-180)*3600+(E104+E105+E106)*60+F104+F105+F106-(G104+G105+G106)</f>
        <v>0</v>
      </c>
    </row>
    <row r="105" customFormat="false" ht="15" hidden="false" customHeight="false" outlineLevel="0" collapsed="false">
      <c r="A105" s="58" t="n">
        <v>34</v>
      </c>
      <c r="B105" s="58" t="s">
        <v>179</v>
      </c>
      <c r="C105" s="58" t="s">
        <v>183</v>
      </c>
      <c r="D105" s="59" t="n">
        <v>81</v>
      </c>
      <c r="E105" s="59" t="n">
        <v>18</v>
      </c>
      <c r="F105" s="60" t="n">
        <v>52.89</v>
      </c>
      <c r="G105" s="60" t="n">
        <v>1.03</v>
      </c>
      <c r="H105" s="61" t="n">
        <v>9.9949910137</v>
      </c>
      <c r="I105" s="62" t="n">
        <f aca="false">H105</f>
        <v>9.9949910137</v>
      </c>
      <c r="J105" s="62" t="n">
        <f aca="false">10+LOG10(SIN(RADIANS(D105+E105/60+F105/3600)))</f>
        <v>9.99499101383069</v>
      </c>
      <c r="K105" s="63" t="n">
        <f aca="false">(I105-J105)*10000000000</f>
        <v>-1.30690125388355</v>
      </c>
      <c r="L105" s="64" t="s">
        <v>100</v>
      </c>
      <c r="M105" s="64"/>
      <c r="N105" s="61" t="n">
        <v>4.3358046993</v>
      </c>
      <c r="O105" s="65" t="n">
        <f aca="false">O104+I105-I104</f>
        <v>4.3358046991</v>
      </c>
      <c r="P105" s="66" t="n">
        <f aca="false">IF(N105="","",(O105-N105)*10000000000)</f>
        <v>-2.00002681083333</v>
      </c>
      <c r="Q105" s="59" t="n">
        <v>0</v>
      </c>
      <c r="R105" s="62" t="n">
        <f aca="false">I105-COS(RADIANS(D105+E105/60+F105/3600))/SIN(RADIANS(D105+E105/60+F105/3600))*RADIANS(Q105/3600)/LN(10)</f>
        <v>9.9949910137</v>
      </c>
      <c r="S105" s="65" t="n">
        <f aca="false">S104+R105-R104</f>
        <v>4.3358046991</v>
      </c>
      <c r="T105" s="65" t="n">
        <f aca="false">T104+J105-J104</f>
        <v>4.33580469887581</v>
      </c>
      <c r="U105" s="67" t="n">
        <f aca="false">Summary!$C$6*ASIN(10^O105/Summary!$C$6)</f>
        <v>21667.4539850073</v>
      </c>
      <c r="V105" s="68" t="n">
        <v>21667.453</v>
      </c>
      <c r="W105" s="69" t="n">
        <f aca="false">IF(V105="","",(V105-U105)*Summary!$C$7*1000)</f>
        <v>-1.91981529221898</v>
      </c>
      <c r="X105" s="70" t="n">
        <f aca="false">U105*Summary!$C$7</f>
        <v>42230.6606611572</v>
      </c>
      <c r="Y105" s="64"/>
    </row>
    <row r="106" customFormat="false" ht="15" hidden="false" customHeight="false" outlineLevel="0" collapsed="false">
      <c r="A106" s="72" t="n">
        <v>34</v>
      </c>
      <c r="B106" s="72" t="s">
        <v>176</v>
      </c>
      <c r="C106" s="72" t="s">
        <v>182</v>
      </c>
      <c r="D106" s="73" t="n">
        <v>62</v>
      </c>
      <c r="E106" s="73" t="n">
        <v>25</v>
      </c>
      <c r="F106" s="74" t="n">
        <v>20.94</v>
      </c>
      <c r="G106" s="74" t="n">
        <v>0.71</v>
      </c>
      <c r="H106" s="75" t="n">
        <v>9.9476225509</v>
      </c>
      <c r="I106" s="76" t="n">
        <f aca="false">H106</f>
        <v>9.9476225509</v>
      </c>
      <c r="J106" s="76" t="n">
        <f aca="false">10+LOG10(SIN(RADIANS(D106+E106/60+F106/3600)))</f>
        <v>9.94762255096917</v>
      </c>
      <c r="K106" s="77" t="n">
        <f aca="false">(I106-J106)*10000000000</f>
        <v>-0.691695589694064</v>
      </c>
      <c r="L106" s="78" t="s">
        <v>100</v>
      </c>
      <c r="M106" s="78"/>
      <c r="N106" s="75" t="n">
        <v>4.2884362364</v>
      </c>
      <c r="O106" s="79" t="n">
        <f aca="false">O104+I106-I104</f>
        <v>4.2884362363</v>
      </c>
      <c r="P106" s="80" t="n">
        <f aca="false">IF(N106="","",(O106-N106)*10000000000)</f>
        <v>-1.00002672809296</v>
      </c>
      <c r="Q106" s="73" t="n">
        <v>0</v>
      </c>
      <c r="R106" s="76" t="n">
        <f aca="false">I106-COS(RADIANS(D106+E106/60+F106/3600))/SIN(RADIANS(D106+E106/60+F106/3600))*RADIANS(Q106/3600)/LN(10)</f>
        <v>9.9476225509</v>
      </c>
      <c r="S106" s="79" t="n">
        <f aca="false">S104+R106-R104</f>
        <v>4.2884362363</v>
      </c>
      <c r="T106" s="79" t="n">
        <f aca="false">T104+J106-J104</f>
        <v>4.28843623601428</v>
      </c>
      <c r="U106" s="81" t="n">
        <f aca="false">Summary!$C$6*ASIN(10^O106/Summary!$C$6)</f>
        <v>19428.4787259107</v>
      </c>
      <c r="V106" s="84" t="n">
        <v>19428.4787</v>
      </c>
      <c r="W106" s="82" t="n">
        <f aca="false">IF(V106="","",(V106-U106)*Summary!$C$7*1000)</f>
        <v>-0.0505008387133993</v>
      </c>
      <c r="X106" s="83" t="n">
        <f aca="false">U106*Summary!$C$7</f>
        <v>37866.8159537419</v>
      </c>
      <c r="Y106" s="78"/>
    </row>
    <row r="107" customFormat="false" ht="15" hidden="false" customHeight="false" outlineLevel="0" collapsed="false">
      <c r="A107" s="5" t="n">
        <v>35</v>
      </c>
      <c r="B107" s="5" t="s">
        <v>176</v>
      </c>
      <c r="C107" s="5" t="s">
        <v>184</v>
      </c>
      <c r="D107" s="38" t="n">
        <v>76</v>
      </c>
      <c r="E107" s="38" t="n">
        <v>2</v>
      </c>
      <c r="F107" s="30" t="n">
        <v>31.25</v>
      </c>
      <c r="G107" s="30" t="n">
        <v>0.72</v>
      </c>
      <c r="H107" s="16" t="n">
        <v>9.9869833953</v>
      </c>
      <c r="I107" s="12" t="n">
        <f aca="false">H107</f>
        <v>9.9869833953</v>
      </c>
      <c r="J107" s="12" t="n">
        <f aca="false">10+LOG10(SIN(RADIANS(D107+E107/60+F107/3600)))</f>
        <v>9.98698339544176</v>
      </c>
      <c r="K107" s="25" t="n">
        <f aca="false">(I107-J107)*10000000000</f>
        <v>-1.41760381211498</v>
      </c>
      <c r="L107" s="39" t="s">
        <v>100</v>
      </c>
      <c r="N107" s="16" t="n">
        <v>4.2383276828</v>
      </c>
      <c r="O107" s="40" t="n">
        <f aca="false">O109+I107-I109</f>
        <v>4.2383276826</v>
      </c>
      <c r="P107" s="41" t="n">
        <f aca="false">IF(N107="","",(O107-N107)*10000000000)</f>
        <v>-2.00003569261753</v>
      </c>
      <c r="Q107" s="38" t="n">
        <v>0</v>
      </c>
      <c r="R107" s="12" t="n">
        <f aca="false">I107-COS(RADIANS(D107+E107/60+F107/3600))/SIN(RADIANS(D107+E107/60+F107/3600))*RADIANS(Q107/3600)/LN(10)</f>
        <v>9.9869833953</v>
      </c>
      <c r="S107" s="40" t="n">
        <f aca="false">S109+R107-R109</f>
        <v>4.2383276826</v>
      </c>
      <c r="T107" s="40" t="n">
        <f aca="false">T109+J107-J109</f>
        <v>4.2383276823481</v>
      </c>
      <c r="U107" s="42" t="n">
        <f aca="false">Summary!$C$6*ASIN(10^O107/Summary!$C$6)</f>
        <v>17311.3012867934</v>
      </c>
      <c r="V107" s="15" t="n">
        <v>17311.3013</v>
      </c>
      <c r="W107" s="43" t="n">
        <f aca="false">IF(V107="","",(V107-U107)*Summary!$C$7*1000)</f>
        <v>0.0257401922708533</v>
      </c>
      <c r="X107" s="44" t="n">
        <f aca="false">U107*Summary!$C$7</f>
        <v>33740.3596542299</v>
      </c>
      <c r="Y107" s="26" t="n">
        <f aca="false">(D107+D108+D109-180)*3600+(E107+E108+E109)*60+F107+F108+F109-(G107+G108+G109)</f>
        <v>0</v>
      </c>
    </row>
    <row r="108" customFormat="false" ht="15" hidden="false" customHeight="false" outlineLevel="0" collapsed="false">
      <c r="A108" s="5" t="n">
        <v>35</v>
      </c>
      <c r="B108" s="5" t="s">
        <v>179</v>
      </c>
      <c r="C108" s="5" t="s">
        <v>185</v>
      </c>
      <c r="D108" s="38" t="n">
        <v>57</v>
      </c>
      <c r="E108" s="38" t="n">
        <v>20</v>
      </c>
      <c r="F108" s="30" t="n">
        <v>18.42</v>
      </c>
      <c r="G108" s="30" t="n">
        <v>0.57</v>
      </c>
      <c r="H108" s="16" t="n">
        <v>9.9252466515</v>
      </c>
      <c r="I108" s="12" t="n">
        <f aca="false">H108</f>
        <v>9.9252466515</v>
      </c>
      <c r="J108" s="12" t="n">
        <f aca="false">10+LOG10(SIN(RADIANS(D108+E108/60+F108/3600)))</f>
        <v>9.92524665170825</v>
      </c>
      <c r="K108" s="25" t="n">
        <f aca="false">(I108-J108)*10000000000</f>
        <v>-2.08249417710249</v>
      </c>
      <c r="L108" s="39" t="s">
        <v>100</v>
      </c>
      <c r="N108" s="16" t="n">
        <v>4.1765909389</v>
      </c>
      <c r="O108" s="40" t="n">
        <f aca="false">O109+I108-I109</f>
        <v>4.1765909388</v>
      </c>
      <c r="P108" s="41" t="n">
        <f aca="false">IF(N108="","",(O108-N108)*10000000000)</f>
        <v>-1.00003560987716</v>
      </c>
      <c r="Q108" s="38" t="n">
        <v>0</v>
      </c>
      <c r="R108" s="12" t="n">
        <f aca="false">I108-COS(RADIANS(D108+E108/60+F108/3600))/SIN(RADIANS(D108+E108/60+F108/3600))*RADIANS(Q108/3600)/LN(10)</f>
        <v>9.9252466515</v>
      </c>
      <c r="S108" s="40" t="n">
        <f aca="false">S109+R108-R109</f>
        <v>4.1765909388</v>
      </c>
      <c r="T108" s="40" t="n">
        <f aca="false">T109+J108-J109</f>
        <v>4.17659093861459</v>
      </c>
      <c r="U108" s="42" t="n">
        <f aca="false">Summary!$C$6*ASIN(10^O108/Summary!$C$6)</f>
        <v>15017.3211433031</v>
      </c>
      <c r="V108" s="15" t="n">
        <v>15017.3211</v>
      </c>
      <c r="W108" s="43" t="n">
        <f aca="false">IF(V108="","",(V108-U108)*Summary!$C$7*1000)</f>
        <v>-0.0843992839369324</v>
      </c>
      <c r="X108" s="44" t="n">
        <f aca="false">U108*Summary!$C$7</f>
        <v>29269.3084144209</v>
      </c>
    </row>
    <row r="109" customFormat="false" ht="15" hidden="false" customHeight="false" outlineLevel="0" collapsed="false">
      <c r="A109" s="45" t="n">
        <v>35</v>
      </c>
      <c r="B109" s="45" t="s">
        <v>186</v>
      </c>
      <c r="C109" s="45" t="s">
        <v>177</v>
      </c>
      <c r="D109" s="46" t="n">
        <v>46</v>
      </c>
      <c r="E109" s="46" t="n">
        <v>37</v>
      </c>
      <c r="F109" s="47" t="n">
        <v>12.12</v>
      </c>
      <c r="G109" s="47" t="n">
        <v>0.5</v>
      </c>
      <c r="H109" s="48" t="n">
        <v>9.8614238008</v>
      </c>
      <c r="I109" s="49" t="n">
        <f aca="false">H109</f>
        <v>9.8614238008</v>
      </c>
      <c r="J109" s="49" t="n">
        <f aca="false">10+LOG10(SIN(RADIANS(D109+E109/60+F109/3600)))</f>
        <v>9.86142380106869</v>
      </c>
      <c r="K109" s="50" t="n">
        <f aca="false">(I109-J109)*10000000000</f>
        <v>-2.68684630100324</v>
      </c>
      <c r="L109" s="51" t="s">
        <v>103</v>
      </c>
      <c r="M109" s="51" t="n">
        <v>31</v>
      </c>
      <c r="N109" s="52"/>
      <c r="O109" s="52" t="n">
        <f aca="false">O95</f>
        <v>4.1127680881</v>
      </c>
      <c r="P109" s="53"/>
      <c r="Q109" s="46" t="n">
        <v>0</v>
      </c>
      <c r="R109" s="49" t="n">
        <f aca="false">I109-COS(RADIANS(D109+E109/60+F109/3600))/SIN(RADIANS(D109+E109/60+F109/3600))*RADIANS(Q109/3600)/LN(10)</f>
        <v>9.8614238008</v>
      </c>
      <c r="S109" s="52" t="n">
        <f aca="false">S95</f>
        <v>4.1127680881</v>
      </c>
      <c r="T109" s="52" t="n">
        <f aca="false">T95</f>
        <v>4.11276808797503</v>
      </c>
      <c r="U109" s="54"/>
      <c r="V109" s="54"/>
      <c r="W109" s="56"/>
      <c r="X109" s="57"/>
      <c r="Y109" s="51"/>
    </row>
    <row r="110" customFormat="false" ht="15" hidden="false" customHeight="false" outlineLevel="0" collapsed="false">
      <c r="A110" s="58" t="n">
        <v>36</v>
      </c>
      <c r="B110" s="58" t="s">
        <v>179</v>
      </c>
      <c r="C110" s="58" t="s">
        <v>187</v>
      </c>
      <c r="D110" s="59" t="n">
        <v>59</v>
      </c>
      <c r="E110" s="59" t="n">
        <v>52</v>
      </c>
      <c r="F110" s="60" t="n">
        <v>2.86</v>
      </c>
      <c r="G110" s="60" t="n">
        <v>0.63</v>
      </c>
      <c r="H110" s="61" t="n">
        <v>9.936949059</v>
      </c>
      <c r="I110" s="62" t="n">
        <f aca="false">H110</f>
        <v>9.936949059</v>
      </c>
      <c r="J110" s="62" t="n">
        <f aca="false">10+LOG10(SIN(RADIANS(D110+E110/60+F110/3600)))</f>
        <v>9.93694905913704</v>
      </c>
      <c r="K110" s="63" t="n">
        <f aca="false">(I110-J110)*10000000000</f>
        <v>-1.37037048375532</v>
      </c>
      <c r="L110" s="64" t="s">
        <v>100</v>
      </c>
      <c r="M110" s="64"/>
      <c r="N110" s="61" t="n">
        <v>4.197466373</v>
      </c>
      <c r="O110" s="65" t="n">
        <f aca="false">O112+I110-I112</f>
        <v>4.1974663728</v>
      </c>
      <c r="P110" s="66" t="n">
        <f aca="false">IF(N110="","",(O110-N110)*10000000000)</f>
        <v>-2.00004457440173</v>
      </c>
      <c r="Q110" s="59" t="n">
        <v>0</v>
      </c>
      <c r="R110" s="62" t="n">
        <f aca="false">I110-COS(RADIANS(D110+E110/60+F110/3600))/SIN(RADIANS(D110+E110/60+F110/3600))*RADIANS(Q110/3600)/LN(10)</f>
        <v>9.936949059</v>
      </c>
      <c r="S110" s="65" t="n">
        <f aca="false">S112+R110-R112</f>
        <v>4.1974663728</v>
      </c>
      <c r="T110" s="65" t="n">
        <f aca="false">T112+J110-J112</f>
        <v>4.19746637261076</v>
      </c>
      <c r="U110" s="67" t="n">
        <f aca="false">Summary!$C$6*ASIN(10^O110/Summary!$C$6)</f>
        <v>15756.8012314121</v>
      </c>
      <c r="V110" s="68" t="n">
        <v>15756.8013</v>
      </c>
      <c r="W110" s="69" t="n">
        <f aca="false">IF(V110="","",(V110-U110)*Summary!$C$7*1000)</f>
        <v>0.133680274407988</v>
      </c>
      <c r="X110" s="70" t="n">
        <f aca="false">U110*Summary!$C$7</f>
        <v>30710.5821648221</v>
      </c>
      <c r="Y110" s="71" t="n">
        <f aca="false">(D110+D111+D112-180)*3600+(E110+E111+E112)*60+F110+F111+F112-(G110+G111+G112)</f>
        <v>0</v>
      </c>
    </row>
    <row r="111" customFormat="false" ht="15" hidden="false" customHeight="false" outlineLevel="0" collapsed="false">
      <c r="A111" s="58" t="n">
        <v>36</v>
      </c>
      <c r="B111" s="58" t="s">
        <v>186</v>
      </c>
      <c r="C111" s="58" t="s">
        <v>188</v>
      </c>
      <c r="D111" s="59" t="n">
        <v>48</v>
      </c>
      <c r="E111" s="59" t="n">
        <v>17</v>
      </c>
      <c r="F111" s="60" t="n">
        <v>35.15</v>
      </c>
      <c r="G111" s="60" t="n">
        <v>0.59</v>
      </c>
      <c r="H111" s="61" t="n">
        <v>9.8730635723</v>
      </c>
      <c r="I111" s="62" t="n">
        <f aca="false">H111</f>
        <v>9.8730635723</v>
      </c>
      <c r="J111" s="62" t="n">
        <f aca="false">10+LOG10(SIN(RADIANS(D111+E111/60+F111/3600)))</f>
        <v>9.87306357252953</v>
      </c>
      <c r="K111" s="63" t="n">
        <f aca="false">(I111-J111)*10000000000</f>
        <v>-2.29526619932585</v>
      </c>
      <c r="L111" s="64" t="s">
        <v>100</v>
      </c>
      <c r="M111" s="64"/>
      <c r="N111" s="61" t="n">
        <v>4.1335808863</v>
      </c>
      <c r="O111" s="65" t="n">
        <f aca="false">O112+I111-I112</f>
        <v>4.1335808861</v>
      </c>
      <c r="P111" s="66" t="n">
        <f aca="false">IF(N111="","",(O111-N111)*10000000000)</f>
        <v>-2.00004457440173</v>
      </c>
      <c r="Q111" s="59" t="n">
        <v>0</v>
      </c>
      <c r="R111" s="62" t="n">
        <f aca="false">I111-COS(RADIANS(D111+E111/60+F111/3600))/SIN(RADIANS(D111+E111/60+F111/3600))*RADIANS(Q111/3600)/LN(10)</f>
        <v>9.8730635723</v>
      </c>
      <c r="S111" s="65" t="n">
        <f aca="false">S112+R111-R112</f>
        <v>4.1335808861</v>
      </c>
      <c r="T111" s="65" t="n">
        <f aca="false">T112+J111-J112</f>
        <v>4.13358088600325</v>
      </c>
      <c r="U111" s="67" t="n">
        <f aca="false">Summary!$C$6*ASIN(10^O111/Summary!$C$6)</f>
        <v>13601.3538939245</v>
      </c>
      <c r="V111" s="68" t="n">
        <v>13601.3539</v>
      </c>
      <c r="W111" s="69" t="n">
        <f aca="false">IF(V111="","",(V111-U111)*Summary!$C$7*1000)</f>
        <v>0.0118413383183727</v>
      </c>
      <c r="X111" s="70" t="n">
        <f aca="false">U111*Summary!$C$7</f>
        <v>26509.5364330338</v>
      </c>
      <c r="Y111" s="64"/>
    </row>
    <row r="112" customFormat="false" ht="15" hidden="false" customHeight="false" outlineLevel="0" collapsed="false">
      <c r="A112" s="72" t="n">
        <v>36</v>
      </c>
      <c r="B112" s="72" t="s">
        <v>189</v>
      </c>
      <c r="C112" s="72" t="s">
        <v>184</v>
      </c>
      <c r="D112" s="73" t="n">
        <v>71</v>
      </c>
      <c r="E112" s="73" t="n">
        <v>50</v>
      </c>
      <c r="F112" s="74" t="n">
        <v>23.96</v>
      </c>
      <c r="G112" s="74" t="n">
        <v>0.75</v>
      </c>
      <c r="H112" s="75" t="n">
        <v>9.9778103688</v>
      </c>
      <c r="I112" s="76" t="n">
        <f aca="false">H112</f>
        <v>9.9778103688</v>
      </c>
      <c r="J112" s="76" t="n">
        <f aca="false">10+LOG10(SIN(RADIANS(D112+E112/60+F112/3600)))</f>
        <v>9.97781036887438</v>
      </c>
      <c r="K112" s="77" t="n">
        <f aca="false">(I112-J112)*10000000000</f>
        <v>-0.743778372225279</v>
      </c>
      <c r="L112" s="78" t="s">
        <v>103</v>
      </c>
      <c r="M112" s="78" t="n">
        <v>35</v>
      </c>
      <c r="N112" s="79"/>
      <c r="O112" s="79" t="n">
        <f aca="false">O107</f>
        <v>4.2383276826</v>
      </c>
      <c r="P112" s="80"/>
      <c r="Q112" s="73" t="n">
        <v>0</v>
      </c>
      <c r="R112" s="76" t="n">
        <f aca="false">I112-COS(RADIANS(D112+E112/60+F112/3600))/SIN(RADIANS(D112+E112/60+F112/3600))*RADIANS(Q112/3600)/LN(10)</f>
        <v>9.9778103688</v>
      </c>
      <c r="S112" s="79" t="n">
        <f aca="false">S107</f>
        <v>4.2383276826</v>
      </c>
      <c r="T112" s="79" t="n">
        <f aca="false">T107</f>
        <v>4.2383276823481</v>
      </c>
      <c r="U112" s="81"/>
      <c r="V112" s="81"/>
      <c r="W112" s="82"/>
      <c r="X112" s="83"/>
      <c r="Y112" s="78"/>
    </row>
    <row r="113" customFormat="false" ht="15" hidden="false" customHeight="false" outlineLevel="0" collapsed="false">
      <c r="A113" s="5" t="n">
        <v>37</v>
      </c>
      <c r="B113" s="5" t="s">
        <v>179</v>
      </c>
      <c r="C113" s="5" t="s">
        <v>190</v>
      </c>
      <c r="D113" s="38" t="n">
        <v>63</v>
      </c>
      <c r="E113" s="38" t="n">
        <v>49</v>
      </c>
      <c r="F113" s="30" t="n">
        <v>26.66</v>
      </c>
      <c r="G113" s="30" t="n">
        <v>0.71</v>
      </c>
      <c r="H113" s="16" t="n">
        <v>9.9530072539</v>
      </c>
      <c r="I113" s="12" t="n">
        <f aca="false">H113</f>
        <v>9.9530072539</v>
      </c>
      <c r="J113" s="12" t="n">
        <f aca="false">10+LOG10(SIN(RADIANS(D113+E113/60+F113/3600)))</f>
        <v>9.95300725409969</v>
      </c>
      <c r="K113" s="25" t="n">
        <f aca="false">(I113-J113)*10000000000</f>
        <v>-1.9968737774434</v>
      </c>
      <c r="L113" s="39" t="s">
        <v>100</v>
      </c>
      <c r="N113" s="16" t="n">
        <v>4.2320862086</v>
      </c>
      <c r="O113" s="40" t="n">
        <f aca="false">O115+I113-I115</f>
        <v>4.2320862084</v>
      </c>
      <c r="P113" s="41" t="n">
        <f aca="false">IF(N113="","",(O113-N113)*10000000000)</f>
        <v>-2.00005345618592</v>
      </c>
      <c r="Q113" s="38" t="n">
        <v>0</v>
      </c>
      <c r="R113" s="12" t="n">
        <f aca="false">I113-COS(RADIANS(D113+E113/60+F113/3600))/SIN(RADIANS(D113+E113/60+F113/3600))*RADIANS(Q113/3600)/LN(10)</f>
        <v>9.9530072539</v>
      </c>
      <c r="S113" s="40" t="n">
        <f aca="false">S115+R113-R115</f>
        <v>4.2320862084</v>
      </c>
      <c r="T113" s="40" t="n">
        <f aca="false">T115+J113-J115</f>
        <v>4.23208620830654</v>
      </c>
      <c r="U113" s="42" t="n">
        <f aca="false">Summary!$C$6*ASIN(10^O113/Summary!$C$6)</f>
        <v>17064.2884281548</v>
      </c>
      <c r="V113" s="15" t="n">
        <v>17064.2885</v>
      </c>
      <c r="W113" s="43" t="n">
        <f aca="false">IF(V113="","",(V113-U113)*Summary!$C$7*1000)</f>
        <v>0.140028844308747</v>
      </c>
      <c r="X113" s="44" t="n">
        <f aca="false">U113*Summary!$C$7</f>
        <v>33258.9225541754</v>
      </c>
      <c r="Y113" s="26" t="n">
        <f aca="false">(D113+D114+D115-180)*3600+(E113+E114+E115)*60+F113+F114+F115-(G113+G114+G115)</f>
        <v>0</v>
      </c>
    </row>
    <row r="114" customFormat="false" ht="15" hidden="false" customHeight="false" outlineLevel="0" collapsed="false">
      <c r="A114" s="5" t="n">
        <v>37</v>
      </c>
      <c r="B114" s="5" t="s">
        <v>189</v>
      </c>
      <c r="C114" s="5" t="s">
        <v>191</v>
      </c>
      <c r="D114" s="38" t="n">
        <v>70</v>
      </c>
      <c r="E114" s="38" t="n">
        <v>30</v>
      </c>
      <c r="F114" s="30" t="n">
        <v>24.54</v>
      </c>
      <c r="G114" s="30" t="n">
        <v>0.77</v>
      </c>
      <c r="H114" s="16" t="n">
        <v>9.9743648451</v>
      </c>
      <c r="I114" s="12" t="n">
        <f aca="false">H114</f>
        <v>9.9743648451</v>
      </c>
      <c r="J114" s="12" t="n">
        <f aca="false">10+LOG10(SIN(RADIANS(D114+E114/60+F114/3600)))</f>
        <v>9.97436484529946</v>
      </c>
      <c r="K114" s="25" t="n">
        <f aca="false">(I114-J114)*10000000000</f>
        <v>-1.99463556782575</v>
      </c>
      <c r="L114" s="39" t="s">
        <v>100</v>
      </c>
      <c r="N114" s="16" t="n">
        <v>4.2534437998</v>
      </c>
      <c r="O114" s="40" t="n">
        <f aca="false">O115+I114-I115</f>
        <v>4.2534437996</v>
      </c>
      <c r="P114" s="41" t="n">
        <f aca="false">IF(N114="","",(O114-N114)*10000000000)</f>
        <v>-2.00004457440173</v>
      </c>
      <c r="Q114" s="38" t="n">
        <v>0</v>
      </c>
      <c r="R114" s="12" t="n">
        <f aca="false">I114-COS(RADIANS(D114+E114/60+F114/3600))/SIN(RADIANS(D114+E114/60+F114/3600))*RADIANS(Q114/3600)/LN(10)</f>
        <v>9.9743648451</v>
      </c>
      <c r="S114" s="40" t="n">
        <f aca="false">S115+R114-R115</f>
        <v>4.2534437996</v>
      </c>
      <c r="T114" s="40" t="n">
        <f aca="false">T115+J114-J115</f>
        <v>4.25344379950631</v>
      </c>
      <c r="U114" s="42" t="n">
        <f aca="false">Summary!$C$6*ASIN(10^O114/Summary!$C$6)</f>
        <v>17924.4557756582</v>
      </c>
      <c r="V114" s="15" t="n">
        <v>17924.4558</v>
      </c>
      <c r="W114" s="43" t="n">
        <f aca="false">IF(V114="","",(V114-U114)*Summary!$C$7*1000)</f>
        <v>0.0474430019283088</v>
      </c>
      <c r="X114" s="44" t="n">
        <f aca="false">U114*Summary!$C$7</f>
        <v>34935.4201892625</v>
      </c>
    </row>
    <row r="115" customFormat="false" ht="15" hidden="false" customHeight="false" outlineLevel="0" collapsed="false">
      <c r="A115" s="45" t="n">
        <v>37</v>
      </c>
      <c r="B115" s="45" t="s">
        <v>192</v>
      </c>
      <c r="C115" s="45" t="s">
        <v>188</v>
      </c>
      <c r="D115" s="46" t="n">
        <v>45</v>
      </c>
      <c r="E115" s="46" t="n">
        <v>40</v>
      </c>
      <c r="F115" s="47" t="n">
        <v>10.71</v>
      </c>
      <c r="G115" s="47" t="n">
        <v>0.43</v>
      </c>
      <c r="H115" s="48" t="n">
        <v>9.8545019316</v>
      </c>
      <c r="I115" s="49" t="n">
        <f aca="false">H115</f>
        <v>9.8545019316</v>
      </c>
      <c r="J115" s="49" t="n">
        <f aca="false">10+LOG10(SIN(RADIANS(D115+E115/60+F115/3600)))</f>
        <v>9.8545019317964</v>
      </c>
      <c r="K115" s="50" t="n">
        <f aca="false">(I115-J115)*10000000000</f>
        <v>-1.9639934123461</v>
      </c>
      <c r="L115" s="51" t="s">
        <v>103</v>
      </c>
      <c r="M115" s="51" t="n">
        <v>36</v>
      </c>
      <c r="N115" s="52"/>
      <c r="O115" s="52" t="n">
        <f aca="false">O111</f>
        <v>4.1335808861</v>
      </c>
      <c r="P115" s="53"/>
      <c r="Q115" s="46" t="n">
        <v>0</v>
      </c>
      <c r="R115" s="49" t="n">
        <f aca="false">I115-COS(RADIANS(D115+E115/60+F115/3600))/SIN(RADIANS(D115+E115/60+F115/3600))*RADIANS(Q115/3600)/LN(10)</f>
        <v>9.8545019316</v>
      </c>
      <c r="S115" s="52" t="n">
        <f aca="false">S111</f>
        <v>4.1335808861</v>
      </c>
      <c r="T115" s="52" t="n">
        <f aca="false">T111</f>
        <v>4.13358088600325</v>
      </c>
      <c r="U115" s="54"/>
      <c r="V115" s="54"/>
      <c r="W115" s="56"/>
      <c r="X115" s="57"/>
      <c r="Y115" s="51"/>
    </row>
    <row r="116" customFormat="false" ht="15" hidden="false" customHeight="false" outlineLevel="0" collapsed="false">
      <c r="A116" s="58" t="n">
        <v>38</v>
      </c>
      <c r="B116" s="58" t="s">
        <v>186</v>
      </c>
      <c r="C116" s="58" t="s">
        <v>193</v>
      </c>
      <c r="D116" s="59" t="n">
        <v>37</v>
      </c>
      <c r="E116" s="59" t="n">
        <v>1</v>
      </c>
      <c r="F116" s="60" t="n">
        <v>41</v>
      </c>
      <c r="G116" s="60" t="n">
        <v>0.34</v>
      </c>
      <c r="H116" s="61" t="n">
        <v>9.779745087</v>
      </c>
      <c r="I116" s="62" t="n">
        <f aca="false">H116</f>
        <v>9.779745087</v>
      </c>
      <c r="J116" s="62" t="n">
        <f aca="false">10+LOG10(SIN(RADIANS(D116+E116/60+F116/3600)))</f>
        <v>9.7797450871073</v>
      </c>
      <c r="K116" s="63" t="n">
        <f aca="false">(I116-J116)*10000000000</f>
        <v>-1.07302611240812</v>
      </c>
      <c r="L116" s="64" t="s">
        <v>100</v>
      </c>
      <c r="M116" s="64"/>
      <c r="N116" s="61" t="n">
        <v>3.9784807259</v>
      </c>
      <c r="O116" s="65" t="n">
        <f aca="false">O118+I116-I118</f>
        <v>3.9784807257</v>
      </c>
      <c r="P116" s="66" t="n">
        <f aca="false">IF(N116="","",(O116-N116)*10000000000)</f>
        <v>-2.00004457440173</v>
      </c>
      <c r="Q116" s="59" t="n">
        <v>0</v>
      </c>
      <c r="R116" s="62" t="n">
        <f aca="false">I116-COS(RADIANS(D116+E116/60+F116/3600))/SIN(RADIANS(D116+E116/60+F116/3600))*RADIANS(Q116/3600)/LN(10)</f>
        <v>9.779745087</v>
      </c>
      <c r="S116" s="65" t="n">
        <f aca="false">S118+R116-R118</f>
        <v>3.9784807257</v>
      </c>
      <c r="T116" s="65" t="n">
        <f aca="false">T118+J116-J118</f>
        <v>3.97848072552517</v>
      </c>
      <c r="U116" s="67" t="n">
        <f aca="false">Summary!$C$6*ASIN(10^O116/Summary!$C$6)</f>
        <v>9516.58957767969</v>
      </c>
      <c r="V116" s="68" t="n">
        <v>9516.5896</v>
      </c>
      <c r="W116" s="69" t="n">
        <f aca="false">IF(V116="","",(V116-U116)*Summary!$C$7*1000)</f>
        <v>0.043503093158193</v>
      </c>
      <c r="X116" s="70" t="n">
        <f aca="false">U116*Summary!$C$7</f>
        <v>18548.181313069</v>
      </c>
      <c r="Y116" s="71" t="n">
        <f aca="false">(D116+D117+D118-180)*3600+(E116+E117+E118)*60+F116+F117+F118-(G116+G117+G118)</f>
        <v>0</v>
      </c>
    </row>
    <row r="117" customFormat="false" ht="15" hidden="false" customHeight="false" outlineLevel="0" collapsed="false">
      <c r="A117" s="58" t="n">
        <v>38</v>
      </c>
      <c r="B117" s="58" t="s">
        <v>189</v>
      </c>
      <c r="C117" s="58" t="s">
        <v>194</v>
      </c>
      <c r="D117" s="59" t="n">
        <v>57</v>
      </c>
      <c r="E117" s="59" t="n">
        <v>21</v>
      </c>
      <c r="F117" s="60" t="n">
        <v>2.28</v>
      </c>
      <c r="G117" s="60" t="n">
        <v>0.34</v>
      </c>
      <c r="H117" s="61" t="n">
        <v>9.9253058366</v>
      </c>
      <c r="I117" s="62" t="n">
        <f aca="false">H117</f>
        <v>9.9253058366</v>
      </c>
      <c r="J117" s="62" t="n">
        <f aca="false">10+LOG10(SIN(RADIANS(D117+E117/60+F117/3600)))</f>
        <v>9.92530583678392</v>
      </c>
      <c r="K117" s="63" t="n">
        <f aca="false">(I117-J117)*10000000000</f>
        <v>-1.83922210794663</v>
      </c>
      <c r="L117" s="64" t="s">
        <v>100</v>
      </c>
      <c r="M117" s="64"/>
      <c r="N117" s="61" t="n">
        <v>4.1240414756</v>
      </c>
      <c r="O117" s="65" t="n">
        <f aca="false">O118+I117-I118</f>
        <v>4.1240414753</v>
      </c>
      <c r="P117" s="66" t="n">
        <f aca="false">IF(N117="","",(O117-N117)*10000000000)</f>
        <v>-3.0000535389263</v>
      </c>
      <c r="Q117" s="59" t="n">
        <v>0</v>
      </c>
      <c r="R117" s="62" t="n">
        <f aca="false">I117-COS(RADIANS(D117+E117/60+F117/3600))/SIN(RADIANS(D117+E117/60+F117/3600))*RADIANS(Q117/3600)/LN(10)</f>
        <v>9.9253058366</v>
      </c>
      <c r="S117" s="65" t="n">
        <f aca="false">S118+R117-R118</f>
        <v>4.1240414753</v>
      </c>
      <c r="T117" s="65" t="n">
        <f aca="false">T118+J117-J118</f>
        <v>4.12404147520179</v>
      </c>
      <c r="U117" s="67" t="n">
        <f aca="false">Summary!$C$6*ASIN(10^O117/Summary!$C$6)</f>
        <v>13305.8516153498</v>
      </c>
      <c r="V117" s="68" t="n">
        <v>13305.8528</v>
      </c>
      <c r="W117" s="69" t="n">
        <f aca="false">IF(V117="","",(V117-U117)*Summary!$C$7*1000)</f>
        <v>2.30892658836151</v>
      </c>
      <c r="X117" s="70" t="n">
        <f aca="false">U117*Summary!$C$7</f>
        <v>25933.5916792237</v>
      </c>
      <c r="Y117" s="64"/>
    </row>
    <row r="118" customFormat="false" ht="15" hidden="false" customHeight="false" outlineLevel="0" collapsed="false">
      <c r="A118" s="72" t="n">
        <v>38</v>
      </c>
      <c r="B118" s="72" t="s">
        <v>195</v>
      </c>
      <c r="C118" s="72" t="s">
        <v>187</v>
      </c>
      <c r="D118" s="73" t="n">
        <v>85</v>
      </c>
      <c r="E118" s="73" t="n">
        <v>37</v>
      </c>
      <c r="F118" s="74" t="n">
        <v>17.95</v>
      </c>
      <c r="G118" s="74" t="n">
        <v>0.55</v>
      </c>
      <c r="H118" s="75" t="n">
        <v>9.9987307341</v>
      </c>
      <c r="I118" s="76" t="n">
        <f aca="false">H118</f>
        <v>9.9987307341</v>
      </c>
      <c r="J118" s="76" t="n">
        <f aca="false">10+LOG10(SIN(RADIANS(D118+E118/60+F118/3600)))</f>
        <v>9.99873073419289</v>
      </c>
      <c r="K118" s="77" t="n">
        <f aca="false">(I118-J118)*10000000000</f>
        <v>-0.928874754890785</v>
      </c>
      <c r="L118" s="78" t="s">
        <v>103</v>
      </c>
      <c r="M118" s="78" t="n">
        <v>36</v>
      </c>
      <c r="N118" s="79"/>
      <c r="O118" s="79" t="n">
        <f aca="false">O110</f>
        <v>4.1974663728</v>
      </c>
      <c r="P118" s="80"/>
      <c r="Q118" s="73" t="n">
        <v>0</v>
      </c>
      <c r="R118" s="76" t="n">
        <f aca="false">I118-COS(RADIANS(D118+E118/60+F118/3600))/SIN(RADIANS(D118+E118/60+F118/3600))*RADIANS(Q118/3600)/LN(10)</f>
        <v>9.9987307341</v>
      </c>
      <c r="S118" s="79" t="n">
        <f aca="false">S110</f>
        <v>4.1974663728</v>
      </c>
      <c r="T118" s="79" t="n">
        <f aca="false">T110</f>
        <v>4.19746637261076</v>
      </c>
      <c r="U118" s="81"/>
      <c r="V118" s="81"/>
      <c r="W118" s="82"/>
      <c r="X118" s="83"/>
      <c r="Y118" s="78"/>
    </row>
    <row r="119" customFormat="false" ht="15" hidden="false" customHeight="false" outlineLevel="0" collapsed="false">
      <c r="A119" s="5" t="n">
        <v>39</v>
      </c>
      <c r="B119" s="5" t="s">
        <v>186</v>
      </c>
      <c r="C119" s="5" t="s">
        <v>196</v>
      </c>
      <c r="D119" s="38" t="n">
        <v>61</v>
      </c>
      <c r="E119" s="38" t="n">
        <v>13</v>
      </c>
      <c r="F119" s="30" t="n">
        <v>48.41</v>
      </c>
      <c r="G119" s="30" t="n">
        <v>0.47</v>
      </c>
      <c r="H119" s="16" t="n">
        <v>9.9427815308</v>
      </c>
      <c r="I119" s="12" t="n">
        <f aca="false">H119</f>
        <v>9.9427815308</v>
      </c>
      <c r="J119" s="12" t="n">
        <f aca="false">10+LOG10(SIN(RADIANS(D119+E119/60+F119/3600)))</f>
        <v>9.94278153083668</v>
      </c>
      <c r="K119" s="25" t="n">
        <f aca="false">(I119-J119)*10000000000</f>
        <v>-0.366817687336152</v>
      </c>
      <c r="L119" s="39" t="s">
        <v>100</v>
      </c>
      <c r="N119" s="16" t="n">
        <v>4.1173035626</v>
      </c>
      <c r="O119" s="40" t="n">
        <f aca="false">O121+I119-I121</f>
        <v>4.1173035623</v>
      </c>
      <c r="P119" s="41" t="n">
        <f aca="false">IF(N119="","",(O119-N119)*10000000000)</f>
        <v>-3.0000535389263</v>
      </c>
      <c r="Q119" s="38" t="n">
        <v>0</v>
      </c>
      <c r="R119" s="12" t="n">
        <f aca="false">I119-COS(RADIANS(D119+E119/60+F119/3600))/SIN(RADIANS(D119+E119/60+F119/3600))*RADIANS(Q119/3600)/LN(10)</f>
        <v>9.9427815308</v>
      </c>
      <c r="S119" s="40" t="n">
        <f aca="false">S121+R119-R121</f>
        <v>4.1173035623</v>
      </c>
      <c r="T119" s="40" t="n">
        <f aca="false">T121+J119-J121</f>
        <v>4.11730356194459</v>
      </c>
      <c r="U119" s="42" t="n">
        <f aca="false">Summary!$C$6*ASIN(10^O119/Summary!$C$6)</f>
        <v>13101.0084354402</v>
      </c>
      <c r="V119" s="15" t="n">
        <v>13101.0084</v>
      </c>
      <c r="W119" s="43" t="n">
        <f aca="false">IF(V119="","",(V119-U119)*Summary!$C$7*1000)</f>
        <v>-0.0690743068958261</v>
      </c>
      <c r="X119" s="44" t="n">
        <f aca="false">U119*Summary!$C$7</f>
        <v>25534.3448260632</v>
      </c>
      <c r="Y119" s="26" t="n">
        <f aca="false">(D119+D120+D121-180)*3600+(E119+E120+E121)*60+F119+F120+F121-(G119+G120+G121)</f>
        <v>0</v>
      </c>
    </row>
    <row r="120" customFormat="false" ht="15" hidden="false" customHeight="false" outlineLevel="0" collapsed="false">
      <c r="A120" s="5" t="n">
        <v>39</v>
      </c>
      <c r="B120" s="5" t="s">
        <v>195</v>
      </c>
      <c r="C120" s="5" t="s">
        <v>197</v>
      </c>
      <c r="D120" s="38" t="n">
        <v>55</v>
      </c>
      <c r="E120" s="38" t="n">
        <v>51</v>
      </c>
      <c r="F120" s="30" t="n">
        <v>49.21</v>
      </c>
      <c r="G120" s="30" t="n">
        <v>0.44</v>
      </c>
      <c r="H120" s="16" t="n">
        <v>9.9178754074</v>
      </c>
      <c r="I120" s="12" t="n">
        <f aca="false">H120</f>
        <v>9.9178754074</v>
      </c>
      <c r="J120" s="12" t="n">
        <f aca="false">10+LOG10(SIN(RADIANS(D120+E120/60+F120/3600)))</f>
        <v>9.91787540754906</v>
      </c>
      <c r="K120" s="25" t="n">
        <f aca="false">(I120-J120)*10000000000</f>
        <v>-1.49061207821433</v>
      </c>
      <c r="L120" s="39" t="s">
        <v>100</v>
      </c>
      <c r="N120" s="16" t="n">
        <v>4.0923974393</v>
      </c>
      <c r="O120" s="40" t="n">
        <f aca="false">O121+I120-I121</f>
        <v>4.0923974389</v>
      </c>
      <c r="P120" s="41" t="n">
        <f aca="false">IF(N120="","",(O120-N120)*10000000000)</f>
        <v>-4.00004473988247</v>
      </c>
      <c r="Q120" s="38" t="n">
        <v>0</v>
      </c>
      <c r="R120" s="12" t="n">
        <f aca="false">I120-COS(RADIANS(D120+E120/60+F120/3600))/SIN(RADIANS(D120+E120/60+F120/3600))*RADIANS(Q120/3600)/LN(10)</f>
        <v>9.9178754074</v>
      </c>
      <c r="S120" s="40" t="n">
        <f aca="false">S121+R120-R121</f>
        <v>4.0923974389</v>
      </c>
      <c r="T120" s="40" t="n">
        <f aca="false">T121+J120-J121</f>
        <v>4.09239743865697</v>
      </c>
      <c r="U120" s="42" t="n">
        <f aca="false">Summary!$C$6*ASIN(10^O120/Summary!$C$6)</f>
        <v>12370.8196849696</v>
      </c>
      <c r="V120" s="15" t="n">
        <v>12370.8194</v>
      </c>
      <c r="W120" s="43" t="n">
        <f aca="false">IF(V120="","",(V120-U120)*Summary!$C$7*1000)</f>
        <v>-0.555416208417183</v>
      </c>
      <c r="X120" s="44" t="n">
        <f aca="false">U120*Summary!$C$7</f>
        <v>24111.1802327032</v>
      </c>
    </row>
    <row r="121" customFormat="false" ht="15" hidden="false" customHeight="false" outlineLevel="0" collapsed="false">
      <c r="A121" s="45" t="n">
        <v>39</v>
      </c>
      <c r="B121" s="45" t="s">
        <v>198</v>
      </c>
      <c r="C121" s="45" t="s">
        <v>194</v>
      </c>
      <c r="D121" s="46" t="n">
        <v>62</v>
      </c>
      <c r="E121" s="46" t="n">
        <v>54</v>
      </c>
      <c r="F121" s="47" t="n">
        <v>23.77</v>
      </c>
      <c r="G121" s="47" t="n">
        <v>0.48</v>
      </c>
      <c r="H121" s="48" t="n">
        <v>9.9495194438</v>
      </c>
      <c r="I121" s="49" t="n">
        <f aca="false">H121</f>
        <v>9.9495194438</v>
      </c>
      <c r="J121" s="49" t="n">
        <f aca="false">10+LOG10(SIN(RADIANS(D121+E121/60+F121/3600)))</f>
        <v>9.94951944409389</v>
      </c>
      <c r="K121" s="50" t="n">
        <f aca="false">(I121-J121)*10000000000</f>
        <v>-2.93887580937735</v>
      </c>
      <c r="L121" s="51" t="s">
        <v>103</v>
      </c>
      <c r="M121" s="51" t="n">
        <v>38</v>
      </c>
      <c r="N121" s="52"/>
      <c r="O121" s="52" t="n">
        <f aca="false">O117</f>
        <v>4.1240414753</v>
      </c>
      <c r="P121" s="53"/>
      <c r="Q121" s="46" t="n">
        <v>0</v>
      </c>
      <c r="R121" s="49" t="n">
        <f aca="false">I121-COS(RADIANS(D121+E121/60+F121/3600))/SIN(RADIANS(D121+E121/60+F121/3600))*RADIANS(Q121/3600)/LN(10)</f>
        <v>9.9495194438</v>
      </c>
      <c r="S121" s="52" t="n">
        <f aca="false">S117</f>
        <v>4.1240414753</v>
      </c>
      <c r="T121" s="52" t="n">
        <f aca="false">T117</f>
        <v>4.12404147520179</v>
      </c>
      <c r="U121" s="54"/>
      <c r="V121" s="54"/>
      <c r="W121" s="56"/>
      <c r="X121" s="57"/>
      <c r="Y121" s="51"/>
    </row>
    <row r="122" customFormat="false" ht="15" hidden="false" customHeight="false" outlineLevel="0" collapsed="false">
      <c r="A122" s="58" t="n">
        <v>40</v>
      </c>
      <c r="B122" s="58" t="s">
        <v>195</v>
      </c>
      <c r="C122" s="58" t="s">
        <v>199</v>
      </c>
      <c r="D122" s="59" t="n">
        <v>39</v>
      </c>
      <c r="E122" s="59" t="n">
        <v>42</v>
      </c>
      <c r="F122" s="60" t="n">
        <v>39</v>
      </c>
      <c r="G122" s="60" t="n">
        <v>0</v>
      </c>
      <c r="H122" s="61" t="n">
        <v>9.8054419166</v>
      </c>
      <c r="I122" s="62" t="n">
        <f aca="false">H122</f>
        <v>9.8054419166</v>
      </c>
      <c r="J122" s="62" t="n">
        <f aca="false">10+LOG10(SIN(RADIANS(D122+E122/60+F122/3600)))</f>
        <v>9.80544191660156</v>
      </c>
      <c r="K122" s="63" t="n">
        <f aca="false">(I122-J122)*10000000000</f>
        <v>-0.0156319401867222</v>
      </c>
      <c r="L122" s="64" t="s">
        <v>100</v>
      </c>
      <c r="M122" s="64"/>
      <c r="N122" s="61" t="n">
        <v>3.9631910176</v>
      </c>
      <c r="O122" s="65" t="n">
        <f aca="false">O124+I122-I124</f>
        <v>3.96319001729999</v>
      </c>
      <c r="P122" s="66" t="n">
        <f aca="false">IF(N122="","",(O122-N122)*10000000000)</f>
        <v>-10003.0000638185</v>
      </c>
      <c r="Q122" s="59" t="n">
        <v>0</v>
      </c>
      <c r="R122" s="62" t="n">
        <f aca="false">I122-COS(RADIANS(D122+E122/60+F122/3600))/SIN(RADIANS(D122+E122/60+F122/3600))*RADIANS(Q122/3600)/LN(10)</f>
        <v>9.8054419166</v>
      </c>
      <c r="S122" s="65" t="n">
        <f aca="false">S124+R122-R124</f>
        <v>3.96319001729999</v>
      </c>
      <c r="T122" s="65" t="n">
        <f aca="false">T124+J122-J124</f>
        <v>3.96319001679657</v>
      </c>
      <c r="U122" s="67" t="n">
        <f aca="false">Summary!$C$6*ASIN(10^O122/Summary!$C$6)</f>
        <v>9187.35694312122</v>
      </c>
      <c r="V122" s="68" t="n">
        <v>9187.3781</v>
      </c>
      <c r="W122" s="69" t="n">
        <f aca="false">IF(V122="","",(V122-U122)*Summary!$C$7*1000)</f>
        <v>41.2355309108805</v>
      </c>
      <c r="X122" s="70" t="n">
        <f aca="false">U122*Summary!$C$7</f>
        <v>17906.4948612026</v>
      </c>
      <c r="Y122" s="71" t="n">
        <f aca="false">(D122+D123+D124-180)*3600+(E122+E123+E124)*60+F122+F123+F124-(G122+G123+G124)</f>
        <v>0</v>
      </c>
    </row>
    <row r="123" customFormat="false" ht="15" hidden="false" customHeight="false" outlineLevel="0" collapsed="false">
      <c r="A123" s="58" t="n">
        <v>40</v>
      </c>
      <c r="B123" s="58" t="s">
        <v>198</v>
      </c>
      <c r="C123" s="58" t="s">
        <v>200</v>
      </c>
      <c r="D123" s="59" t="n">
        <v>74</v>
      </c>
      <c r="E123" s="59" t="n">
        <v>38</v>
      </c>
      <c r="F123" s="60" t="n">
        <v>4</v>
      </c>
      <c r="G123" s="60" t="n">
        <v>0</v>
      </c>
      <c r="H123" s="61" t="n">
        <v>9.9841918426</v>
      </c>
      <c r="I123" s="62" t="n">
        <f aca="false">H123</f>
        <v>9.9841918426</v>
      </c>
      <c r="J123" s="62" t="n">
        <f aca="false">10+LOG10(SIN(RADIANS(D123+E123/60+F123/3600)))</f>
        <v>9.98419184281138</v>
      </c>
      <c r="K123" s="63" t="n">
        <f aca="false">(I123-J123)*10000000000</f>
        <v>-2.11375805747593</v>
      </c>
      <c r="L123" s="64" t="s">
        <v>100</v>
      </c>
      <c r="M123" s="64"/>
      <c r="N123" s="61" t="n">
        <v>4.1419399437</v>
      </c>
      <c r="O123" s="65" t="n">
        <f aca="false">O124+I123-I124</f>
        <v>4.14193994329999</v>
      </c>
      <c r="P123" s="66" t="n">
        <f aca="false">IF(N123="","",(O123-N123)*10000000000)</f>
        <v>-4.00006250345086</v>
      </c>
      <c r="Q123" s="59" t="n">
        <v>0</v>
      </c>
      <c r="R123" s="62" t="n">
        <f aca="false">I123-COS(RADIANS(D123+E123/60+F123/3600))/SIN(RADIANS(D123+E123/60+F123/3600))*RADIANS(Q123/3600)/LN(10)</f>
        <v>9.9841918426</v>
      </c>
      <c r="S123" s="65" t="n">
        <f aca="false">S124+R123-R124</f>
        <v>4.14193994329999</v>
      </c>
      <c r="T123" s="65" t="n">
        <f aca="false">T124+J123-J124</f>
        <v>4.14193994300638</v>
      </c>
      <c r="U123" s="67" t="n">
        <f aca="false">Summary!$C$6*ASIN(10^O123/Summary!$C$6)</f>
        <v>13865.6823635671</v>
      </c>
      <c r="V123" s="68" t="n">
        <v>13865.6824</v>
      </c>
      <c r="W123" s="69" t="n">
        <f aca="false">IF(V123="","",(V123-U123)*Summary!$C$7*1000)</f>
        <v>0.0710090425000895</v>
      </c>
      <c r="X123" s="70" t="n">
        <f aca="false">U123*Summary!$C$7</f>
        <v>27024.7222925392</v>
      </c>
      <c r="Y123" s="64"/>
    </row>
    <row r="124" customFormat="false" ht="15" hidden="false" customHeight="false" outlineLevel="0" collapsed="false">
      <c r="A124" s="72" t="n">
        <v>40</v>
      </c>
      <c r="B124" s="72" t="s">
        <v>201</v>
      </c>
      <c r="C124" s="72" t="s">
        <v>196</v>
      </c>
      <c r="D124" s="73" t="n">
        <v>65</v>
      </c>
      <c r="E124" s="73" t="n">
        <v>39</v>
      </c>
      <c r="F124" s="74" t="n">
        <v>17</v>
      </c>
      <c r="G124" s="74" t="n">
        <v>0</v>
      </c>
      <c r="H124" s="75" t="n">
        <v>9.9595554616</v>
      </c>
      <c r="I124" s="76" t="n">
        <f aca="false">H124</f>
        <v>9.9595554616</v>
      </c>
      <c r="J124" s="76" t="n">
        <f aca="false">10+LOG10(SIN(RADIANS(D124+E124/60+F124/3600)))</f>
        <v>9.95955546174958</v>
      </c>
      <c r="K124" s="77" t="n">
        <f aca="false">(I124-J124)*10000000000</f>
        <v>-1.49583456732216</v>
      </c>
      <c r="L124" s="78" t="s">
        <v>103</v>
      </c>
      <c r="M124" s="78" t="n">
        <v>39</v>
      </c>
      <c r="N124" s="79"/>
      <c r="O124" s="79" t="n">
        <f aca="false">O119</f>
        <v>4.1173035623</v>
      </c>
      <c r="P124" s="80"/>
      <c r="Q124" s="73" t="n">
        <v>0</v>
      </c>
      <c r="R124" s="76" t="n">
        <f aca="false">I124-COS(RADIANS(D124+E124/60+F124/3600))/SIN(RADIANS(D124+E124/60+F124/3600))*RADIANS(Q124/3600)/LN(10)</f>
        <v>9.9595554616</v>
      </c>
      <c r="S124" s="79" t="n">
        <f aca="false">S119</f>
        <v>4.1173035623</v>
      </c>
      <c r="T124" s="79" t="n">
        <f aca="false">T119</f>
        <v>4.11730356194459</v>
      </c>
      <c r="U124" s="81"/>
      <c r="V124" s="81"/>
      <c r="W124" s="82"/>
      <c r="X124" s="83"/>
      <c r="Y124" s="78"/>
    </row>
    <row r="125" customFormat="false" ht="15" hidden="false" customHeight="false" outlineLevel="0" collapsed="false">
      <c r="A125" s="5" t="n">
        <v>41</v>
      </c>
      <c r="B125" s="5" t="s">
        <v>195</v>
      </c>
      <c r="C125" s="5" t="s">
        <v>202</v>
      </c>
      <c r="D125" s="38" t="n">
        <v>40</v>
      </c>
      <c r="E125" s="38" t="n">
        <v>32</v>
      </c>
      <c r="F125" s="30" t="n">
        <v>37.94</v>
      </c>
      <c r="G125" s="30" t="n">
        <v>0.28</v>
      </c>
      <c r="H125" s="16" t="n">
        <v>9.8129334751</v>
      </c>
      <c r="I125" s="12" t="n">
        <f aca="false">H125</f>
        <v>9.8129334751</v>
      </c>
      <c r="J125" s="12" t="n">
        <f aca="false">10+LOG10(SIN(RADIANS(D125+E125/60+F125/3600)))</f>
        <v>9.81293347532206</v>
      </c>
      <c r="K125" s="25" t="n">
        <f aca="false">(I125-J125)*10000000000</f>
        <v>-2.22055263066068</v>
      </c>
      <c r="L125" s="39" t="s">
        <v>100</v>
      </c>
      <c r="N125" s="16" t="n">
        <v>3.9470815573</v>
      </c>
      <c r="O125" s="40" t="n">
        <f aca="false">O127+I125-I127</f>
        <v>3.94708155709999</v>
      </c>
      <c r="P125" s="41" t="n">
        <f aca="false">IF(N125="","",(O125-N125)*10000000000)</f>
        <v>-2.00006677886222</v>
      </c>
      <c r="Q125" s="38" t="n">
        <v>0</v>
      </c>
      <c r="R125" s="12" t="n">
        <f aca="false">I125-COS(RADIANS(D125+E125/60+F125/3600))/SIN(RADIANS(D125+E125/60+F125/3600))*RADIANS(Q125/3600)/LN(10)</f>
        <v>9.8129334751</v>
      </c>
      <c r="S125" s="40" t="n">
        <f aca="false">S127+R125-R127</f>
        <v>3.94708155709999</v>
      </c>
      <c r="T125" s="40" t="n">
        <f aca="false">T127+J125-J127</f>
        <v>3.94708155685852</v>
      </c>
      <c r="U125" s="42" t="n">
        <f aca="false">Summary!$C$6*ASIN(10^O125/Summary!$C$6)</f>
        <v>8852.82926629397</v>
      </c>
      <c r="V125" s="15" t="n">
        <v>8852.8293</v>
      </c>
      <c r="W125" s="43" t="n">
        <f aca="false">IF(V125="","",(V125-U125)*Summary!$C$7*1000)</f>
        <v>0.0656942895265314</v>
      </c>
      <c r="X125" s="44" t="n">
        <f aca="false">U125*Summary!$C$7</f>
        <v>17254.4881782009</v>
      </c>
      <c r="Y125" s="26" t="n">
        <f aca="false">(D125+D126+D127-180)*3600+(E125+E126+E127)*60+F125+F126+F127-(G125+G126+G127)</f>
        <v>0</v>
      </c>
    </row>
    <row r="126" customFormat="false" ht="15" hidden="false" customHeight="false" outlineLevel="0" collapsed="false">
      <c r="A126" s="5" t="n">
        <v>41</v>
      </c>
      <c r="B126" s="5" t="s">
        <v>198</v>
      </c>
      <c r="C126" s="5" t="s">
        <v>203</v>
      </c>
      <c r="D126" s="38" t="n">
        <v>65</v>
      </c>
      <c r="E126" s="38" t="n">
        <v>18</v>
      </c>
      <c r="F126" s="30" t="n">
        <v>40.75</v>
      </c>
      <c r="G126" s="30" t="n">
        <v>0.34</v>
      </c>
      <c r="H126" s="16" t="n">
        <v>9.958368294</v>
      </c>
      <c r="I126" s="12" t="n">
        <f aca="false">H126</f>
        <v>9.958368294</v>
      </c>
      <c r="J126" s="12" t="n">
        <f aca="false">10+LOG10(SIN(RADIANS(D126+E126/60+F126/3600)))</f>
        <v>9.9583682940455</v>
      </c>
      <c r="K126" s="25" t="n">
        <f aca="false">(I126-J126)*10000000000</f>
        <v>-0.45499604084398</v>
      </c>
      <c r="L126" s="39" t="s">
        <v>100</v>
      </c>
      <c r="N126" s="16" t="n">
        <v>4.0925163762</v>
      </c>
      <c r="O126" s="40" t="n">
        <f aca="false">O127+I126-I127</f>
        <v>4.09251637599999</v>
      </c>
      <c r="P126" s="41" t="n">
        <f aca="false">IF(N126="","",(O126-N126)*10000000000)</f>
        <v>-2.00006233797012</v>
      </c>
      <c r="Q126" s="38" t="n">
        <v>0</v>
      </c>
      <c r="R126" s="12" t="n">
        <f aca="false">I126-COS(RADIANS(D126+E126/60+F126/3600))/SIN(RADIANS(D126+E126/60+F126/3600))*RADIANS(Q126/3600)/LN(10)</f>
        <v>9.958368294</v>
      </c>
      <c r="S126" s="40" t="n">
        <f aca="false">S127+R126-R127</f>
        <v>4.09251637599999</v>
      </c>
      <c r="T126" s="40" t="n">
        <f aca="false">T127+J126-J127</f>
        <v>4.09251637558197</v>
      </c>
      <c r="U126" s="42" t="n">
        <f aca="false">Summary!$C$6*ASIN(10^O126/Summary!$C$6)</f>
        <v>12374.2080723604</v>
      </c>
      <c r="V126" s="15" t="n">
        <v>12374.213</v>
      </c>
      <c r="W126" s="43" t="n">
        <f aca="false">IF(V126="","",(V126-U126)*Summary!$C$7*1000)</f>
        <v>9.60414994024857</v>
      </c>
      <c r="X126" s="44" t="n">
        <f aca="false">U126*Summary!$C$7</f>
        <v>24117.7843237139</v>
      </c>
    </row>
    <row r="127" customFormat="false" ht="15" hidden="false" customHeight="false" outlineLevel="0" collapsed="false">
      <c r="A127" s="45" t="n">
        <v>41</v>
      </c>
      <c r="B127" s="45" t="s">
        <v>204</v>
      </c>
      <c r="C127" s="45" t="s">
        <v>196</v>
      </c>
      <c r="D127" s="46" t="n">
        <v>74</v>
      </c>
      <c r="E127" s="46" t="n">
        <v>8</v>
      </c>
      <c r="F127" s="47" t="n">
        <v>42.32</v>
      </c>
      <c r="G127" s="47" t="n">
        <v>0.39</v>
      </c>
      <c r="H127" s="48" t="n">
        <v>9.9831554803</v>
      </c>
      <c r="I127" s="49" t="n">
        <f aca="false">H127</f>
        <v>9.9831554803</v>
      </c>
      <c r="J127" s="49" t="n">
        <f aca="false">10+LOG10(SIN(RADIANS(D127+E127/60+F127/3600)))</f>
        <v>9.98315548040812</v>
      </c>
      <c r="K127" s="50" t="n">
        <f aca="false">(I127-J127)*10000000000</f>
        <v>-1.08116182673257</v>
      </c>
      <c r="L127" s="51" t="s">
        <v>103</v>
      </c>
      <c r="M127" s="51" t="n">
        <v>39</v>
      </c>
      <c r="N127" s="52"/>
      <c r="O127" s="52" t="n">
        <f aca="false">O119</f>
        <v>4.1173035623</v>
      </c>
      <c r="P127" s="53"/>
      <c r="Q127" s="46" t="n">
        <v>0</v>
      </c>
      <c r="R127" s="49" t="n">
        <f aca="false">I127-COS(RADIANS(D127+E127/60+F127/3600))/SIN(RADIANS(D127+E127/60+F127/3600))*RADIANS(Q127/3600)/LN(10)</f>
        <v>9.9831554803</v>
      </c>
      <c r="S127" s="52" t="n">
        <f aca="false">S119</f>
        <v>4.1173035623</v>
      </c>
      <c r="T127" s="52" t="n">
        <f aca="false">T119</f>
        <v>4.11730356194459</v>
      </c>
      <c r="U127" s="54"/>
      <c r="V127" s="54"/>
      <c r="W127" s="56"/>
      <c r="X127" s="57"/>
      <c r="Y127" s="51"/>
    </row>
    <row r="128" customFormat="false" ht="15" hidden="false" customHeight="false" outlineLevel="0" collapsed="false">
      <c r="A128" s="58" t="n">
        <v>42</v>
      </c>
      <c r="B128" s="58" t="s">
        <v>198</v>
      </c>
      <c r="C128" s="58" t="s">
        <v>205</v>
      </c>
      <c r="D128" s="59" t="n">
        <v>49</v>
      </c>
      <c r="E128" s="59" t="n">
        <v>34</v>
      </c>
      <c r="F128" s="60" t="n">
        <v>22.56</v>
      </c>
      <c r="G128" s="60" t="n">
        <v>0.2</v>
      </c>
      <c r="H128" s="61" t="n">
        <v>9.8815170643</v>
      </c>
      <c r="I128" s="62" t="n">
        <f aca="false">H128</f>
        <v>9.8815170643</v>
      </c>
      <c r="J128" s="62" t="n">
        <f aca="false">10+LOG10(SIN(RADIANS(D128+E128/60+F128/3600)))</f>
        <v>9.88151706452507</v>
      </c>
      <c r="K128" s="63" t="n">
        <f aca="false">(I128-J128)*10000000000</f>
        <v>-2.25071516979369</v>
      </c>
      <c r="L128" s="64" t="s">
        <v>100</v>
      </c>
      <c r="M128" s="64"/>
      <c r="N128" s="61" t="n">
        <v>3.9226817369</v>
      </c>
      <c r="O128" s="65" t="n">
        <f aca="false">O130+I128-I130</f>
        <v>3.92268173659999</v>
      </c>
      <c r="P128" s="66" t="n">
        <f aca="false">IF(N128="","",(O128-N128)*10000000000)</f>
        <v>-3.00005797981839</v>
      </c>
      <c r="Q128" s="59" t="n">
        <v>0</v>
      </c>
      <c r="R128" s="62" t="n">
        <f aca="false">I128-COS(RADIANS(D128+E128/60+F128/3600))/SIN(RADIANS(D128+E128/60+F128/3600))*RADIANS(Q128/3600)/LN(10)</f>
        <v>9.8815170643</v>
      </c>
      <c r="S128" s="65" t="n">
        <f aca="false">S130+R128-R130</f>
        <v>3.92268173659999</v>
      </c>
      <c r="T128" s="65" t="n">
        <f aca="false">T130+J128-J130</f>
        <v>3.92268173632892</v>
      </c>
      <c r="U128" s="67" t="n">
        <f aca="false">Summary!$C$6*ASIN(10^O128/Summary!$C$6)</f>
        <v>8369.16656953791</v>
      </c>
      <c r="V128" s="68" t="n">
        <v>8369.1673</v>
      </c>
      <c r="W128" s="69" t="n">
        <f aca="false">IF(V128="","",(V128-U128)*Summary!$C$7*1000)</f>
        <v>1.42369734280562</v>
      </c>
      <c r="X128" s="70" t="n">
        <f aca="false">U128*Summary!$C$7</f>
        <v>16311.8118842857</v>
      </c>
      <c r="Y128" s="71" t="n">
        <f aca="false">(D128+D129+D130-180)*3600+(E128+E129+E130)*60+F128+F129+F130-(G128+G129+G130)</f>
        <v>2.77555756156289E-015</v>
      </c>
    </row>
    <row r="129" customFormat="false" ht="15" hidden="false" customHeight="false" outlineLevel="0" collapsed="false">
      <c r="A129" s="58" t="n">
        <v>42</v>
      </c>
      <c r="B129" s="58" t="s">
        <v>204</v>
      </c>
      <c r="C129" s="58" t="s">
        <v>206</v>
      </c>
      <c r="D129" s="59" t="n">
        <v>76</v>
      </c>
      <c r="E129" s="59" t="n">
        <v>47</v>
      </c>
      <c r="F129" s="60" t="n">
        <v>43.21</v>
      </c>
      <c r="G129" s="60" t="n">
        <v>0.28</v>
      </c>
      <c r="H129" s="61" t="n">
        <v>9.988362861</v>
      </c>
      <c r="I129" s="62" t="n">
        <f aca="false">H129</f>
        <v>9.988362861</v>
      </c>
      <c r="J129" s="62" t="n">
        <f aca="false">10+LOG10(SIN(RADIANS(D129+E129/60+F129/3600)))</f>
        <v>9.98836286113268</v>
      </c>
      <c r="K129" s="63" t="n">
        <f aca="false">(I129-J129)*10000000000</f>
        <v>-1.32677868691644</v>
      </c>
      <c r="L129" s="64" t="s">
        <v>100</v>
      </c>
      <c r="M129" s="64"/>
      <c r="N129" s="61" t="n">
        <v>4.0295275335</v>
      </c>
      <c r="O129" s="65" t="n">
        <f aca="false">O130+I129-I130</f>
        <v>4.02952753329999</v>
      </c>
      <c r="P129" s="66" t="n">
        <f aca="false">IF(N129="","",(O129-N129)*10000000000)</f>
        <v>-2.00005345618592</v>
      </c>
      <c r="Q129" s="59" t="n">
        <v>0</v>
      </c>
      <c r="R129" s="62" t="n">
        <f aca="false">I129-COS(RADIANS(D129+E129/60+F129/3600))/SIN(RADIANS(D129+E129/60+F129/3600))*RADIANS(Q129/3600)/LN(10)</f>
        <v>9.988362861</v>
      </c>
      <c r="S129" s="65" t="n">
        <f aca="false">S130+R129-R130</f>
        <v>4.02952753329999</v>
      </c>
      <c r="T129" s="65" t="n">
        <f aca="false">T130+J129-J130</f>
        <v>4.02952753293653</v>
      </c>
      <c r="U129" s="67" t="n">
        <f aca="false">Summary!$C$6*ASIN(10^O129/Summary!$C$6)</f>
        <v>10703.5615367369</v>
      </c>
      <c r="V129" s="68" t="n">
        <v>10703.5616</v>
      </c>
      <c r="W129" s="69" t="n">
        <f aca="false">IF(V129="","",(V129-U129)*Summary!$C$7*1000)</f>
        <v>0.123302064778597</v>
      </c>
      <c r="X129" s="70" t="n">
        <f aca="false">U129*Summary!$C$7</f>
        <v>20861.6330943415</v>
      </c>
      <c r="Y129" s="64"/>
    </row>
    <row r="130" customFormat="false" ht="15" hidden="false" customHeight="false" outlineLevel="0" collapsed="false">
      <c r="A130" s="72" t="n">
        <v>42</v>
      </c>
      <c r="B130" s="72" t="s">
        <v>207</v>
      </c>
      <c r="C130" s="72" t="s">
        <v>202</v>
      </c>
      <c r="D130" s="73" t="n">
        <v>53</v>
      </c>
      <c r="E130" s="73" t="n">
        <v>37</v>
      </c>
      <c r="F130" s="74" t="n">
        <v>54.93</v>
      </c>
      <c r="G130" s="74" t="n">
        <v>0.22</v>
      </c>
      <c r="H130" s="75" t="n">
        <v>9.9059168848</v>
      </c>
      <c r="I130" s="76" t="n">
        <f aca="false">H130</f>
        <v>9.9059168848</v>
      </c>
      <c r="J130" s="76" t="n">
        <f aca="false">10+LOG10(SIN(RADIANS(D130+E130/60+F130/3600)))</f>
        <v>9.90591688505467</v>
      </c>
      <c r="K130" s="77" t="n">
        <f aca="false">(I130-J130)*10000000000</f>
        <v>-2.54672727351135</v>
      </c>
      <c r="L130" s="78" t="s">
        <v>103</v>
      </c>
      <c r="M130" s="78" t="n">
        <v>41</v>
      </c>
      <c r="N130" s="79"/>
      <c r="O130" s="79" t="n">
        <f aca="false">O125</f>
        <v>3.94708155709999</v>
      </c>
      <c r="P130" s="80"/>
      <c r="Q130" s="73" t="n">
        <v>0</v>
      </c>
      <c r="R130" s="76" t="n">
        <f aca="false">I130-COS(RADIANS(D130+E130/60+F130/3600))/SIN(RADIANS(D130+E130/60+F130/3600))*RADIANS(Q130/3600)/LN(10)</f>
        <v>9.9059168848</v>
      </c>
      <c r="S130" s="79" t="n">
        <f aca="false">S125</f>
        <v>3.94708155709999</v>
      </c>
      <c r="T130" s="79" t="n">
        <f aca="false">T125</f>
        <v>3.94708155685852</v>
      </c>
      <c r="U130" s="81"/>
      <c r="V130" s="81"/>
      <c r="W130" s="82"/>
      <c r="X130" s="83"/>
      <c r="Y130" s="78"/>
    </row>
    <row r="131" customFormat="false" ht="15" hidden="false" customHeight="false" outlineLevel="0" collapsed="false">
      <c r="A131" s="5" t="n">
        <v>43</v>
      </c>
      <c r="B131" s="5" t="s">
        <v>204</v>
      </c>
      <c r="C131" s="5" t="s">
        <v>208</v>
      </c>
      <c r="D131" s="38" t="n">
        <v>40</v>
      </c>
      <c r="E131" s="38" t="n">
        <v>36</v>
      </c>
      <c r="F131" s="30" t="n">
        <v>56.84</v>
      </c>
      <c r="G131" s="30" t="n">
        <v>0.13</v>
      </c>
      <c r="H131" s="16" t="n">
        <v>9.8135699297</v>
      </c>
      <c r="I131" s="12" t="n">
        <f aca="false">H131</f>
        <v>9.8135699297</v>
      </c>
      <c r="J131" s="12" t="n">
        <f aca="false">10+LOG10(SIN(RADIANS(D131+E131/60+F131/3600)))</f>
        <v>9.81356992993083</v>
      </c>
      <c r="K131" s="25" t="n">
        <f aca="false">(I131-J131)*10000000000</f>
        <v>-2.30834018566384</v>
      </c>
      <c r="L131" s="39" t="s">
        <v>100</v>
      </c>
      <c r="N131" s="16" t="n">
        <v>3.7836103721</v>
      </c>
      <c r="O131" s="40" t="n">
        <f aca="false">O133+I131-I133</f>
        <v>3.78361037189999</v>
      </c>
      <c r="P131" s="41" t="n">
        <f aca="false">IF(N131="","",(O131-N131)*10000000000)</f>
        <v>-2.00005345618592</v>
      </c>
      <c r="Q131" s="38" t="n">
        <v>0</v>
      </c>
      <c r="R131" s="12" t="n">
        <f aca="false">I131-COS(RADIANS(D131+E131/60+F131/3600))/SIN(RADIANS(D131+E131/60+F131/3600))*RADIANS(Q131/3600)/LN(10)</f>
        <v>9.8135699297</v>
      </c>
      <c r="S131" s="40" t="n">
        <f aca="false">S133+R131-R133</f>
        <v>3.78361037189999</v>
      </c>
      <c r="T131" s="40" t="n">
        <f aca="false">T133+J131-J133</f>
        <v>3.78361037162749</v>
      </c>
      <c r="U131" s="42" t="n">
        <f aca="false">Summary!$C$6*ASIN(10^O131/Summary!$C$6)</f>
        <v>6075.90006751602</v>
      </c>
      <c r="V131" s="15" t="n">
        <v>6075.9001</v>
      </c>
      <c r="W131" s="43" t="n">
        <f aca="false">IF(V131="","",(V131-U131)*Summary!$C$7*1000)</f>
        <v>0.0633124643694367</v>
      </c>
      <c r="X131" s="44" t="n">
        <f aca="false">U131*Summary!$C$7</f>
        <v>11842.1515578118</v>
      </c>
      <c r="Y131" s="26" t="n">
        <f aca="false">(D131+D132+D133-180)*3600+(E131+E132+E133)*60+F131+F132+F133-(G131+G132+G133)</f>
        <v>1.99840144432528E-015</v>
      </c>
    </row>
    <row r="132" customFormat="false" ht="15" hidden="false" customHeight="false" outlineLevel="0" collapsed="false">
      <c r="A132" s="5" t="n">
        <v>43</v>
      </c>
      <c r="B132" s="5" t="s">
        <v>207</v>
      </c>
      <c r="C132" s="5" t="s">
        <v>209</v>
      </c>
      <c r="D132" s="38" t="n">
        <v>75</v>
      </c>
      <c r="E132" s="38" t="n">
        <v>39</v>
      </c>
      <c r="F132" s="30" t="n">
        <v>29.83</v>
      </c>
      <c r="G132" s="30" t="n">
        <v>0.19</v>
      </c>
      <c r="H132" s="16" t="n">
        <v>9.9862501102</v>
      </c>
      <c r="I132" s="12" t="n">
        <f aca="false">H132</f>
        <v>9.9862501102</v>
      </c>
      <c r="J132" s="12" t="n">
        <f aca="false">10+LOG10(SIN(RADIANS(D132+E132/60+F132/3600)))</f>
        <v>9.98625011028495</v>
      </c>
      <c r="K132" s="25" t="n">
        <f aca="false">(I132-J132)*10000000000</f>
        <v>-0.849507131306382</v>
      </c>
      <c r="L132" s="39" t="s">
        <v>100</v>
      </c>
      <c r="N132" s="16" t="n">
        <v>3.9562905526</v>
      </c>
      <c r="O132" s="40" t="n">
        <f aca="false">O133+I132-I133</f>
        <v>3.9562905524</v>
      </c>
      <c r="P132" s="41" t="n">
        <f aca="false">IF(N132="","",(O132-N132)*10000000000)</f>
        <v>-2.00004901529383</v>
      </c>
      <c r="Q132" s="38" t="n">
        <v>0</v>
      </c>
      <c r="R132" s="12" t="n">
        <f aca="false">I132-COS(RADIANS(D132+E132/60+F132/3600))/SIN(RADIANS(D132+E132/60+F132/3600))*RADIANS(Q132/3600)/LN(10)</f>
        <v>9.9862501102</v>
      </c>
      <c r="S132" s="40" t="n">
        <f aca="false">S133+R132-R133</f>
        <v>3.9562905524</v>
      </c>
      <c r="T132" s="40" t="n">
        <f aca="false">T133+J132-J133</f>
        <v>3.95629055198161</v>
      </c>
      <c r="U132" s="42" t="n">
        <f aca="false">Summary!$C$6*ASIN(10^O132/Summary!$C$6)</f>
        <v>9042.55391614088</v>
      </c>
      <c r="V132" s="15" t="n">
        <v>9042.5539</v>
      </c>
      <c r="W132" s="43" t="n">
        <f aca="false">IF(V132="","",(V132-U132)*Summary!$C$7*1000)</f>
        <v>-0.0314591706267982</v>
      </c>
      <c r="X132" s="44" t="n">
        <f aca="false">U132*Summary!$C$7</f>
        <v>17624.2684630598</v>
      </c>
    </row>
    <row r="133" customFormat="false" ht="15" hidden="false" customHeight="false" outlineLevel="0" collapsed="false">
      <c r="A133" s="45" t="n">
        <v>43</v>
      </c>
      <c r="B133" s="45" t="s">
        <v>210</v>
      </c>
      <c r="C133" s="45" t="s">
        <v>205</v>
      </c>
      <c r="D133" s="46" t="n">
        <v>63</v>
      </c>
      <c r="E133" s="46" t="n">
        <v>43</v>
      </c>
      <c r="F133" s="47" t="n">
        <v>33.82</v>
      </c>
      <c r="G133" s="47" t="n">
        <v>0.17</v>
      </c>
      <c r="H133" s="48" t="n">
        <v>9.9526412944</v>
      </c>
      <c r="I133" s="49" t="n">
        <f aca="false">H133</f>
        <v>9.9526412944</v>
      </c>
      <c r="J133" s="49" t="n">
        <f aca="false">10+LOG10(SIN(RADIANS(D133+E133/60+F133/3600)))</f>
        <v>9.95264129463226</v>
      </c>
      <c r="K133" s="50" t="n">
        <f aca="false">(I133-J133)*10000000000</f>
        <v>-2.32263985822101</v>
      </c>
      <c r="L133" s="51" t="s">
        <v>103</v>
      </c>
      <c r="M133" s="51" t="n">
        <v>42</v>
      </c>
      <c r="N133" s="52"/>
      <c r="O133" s="52" t="n">
        <f aca="false">O128</f>
        <v>3.92268173659999</v>
      </c>
      <c r="P133" s="53"/>
      <c r="Q133" s="46" t="n">
        <v>0</v>
      </c>
      <c r="R133" s="49" t="n">
        <f aca="false">I133-COS(RADIANS(D133+E133/60+F133/3600))/SIN(RADIANS(D133+E133/60+F133/3600))*RADIANS(Q133/3600)/LN(10)</f>
        <v>9.9526412944</v>
      </c>
      <c r="S133" s="52" t="n">
        <f aca="false">S128</f>
        <v>3.92268173659999</v>
      </c>
      <c r="T133" s="52" t="n">
        <f aca="false">T128</f>
        <v>3.92268173632892</v>
      </c>
      <c r="U133" s="54"/>
      <c r="V133" s="54"/>
      <c r="W133" s="56"/>
      <c r="X133" s="57"/>
      <c r="Y133" s="51"/>
    </row>
    <row r="134" customFormat="false" ht="15" hidden="false" customHeight="false" outlineLevel="0" collapsed="false">
      <c r="A134" s="58" t="n">
        <v>44</v>
      </c>
      <c r="B134" s="58" t="s">
        <v>198</v>
      </c>
      <c r="C134" s="58" t="s">
        <v>211</v>
      </c>
      <c r="D134" s="59" t="n">
        <v>55</v>
      </c>
      <c r="E134" s="59" t="n">
        <v>10</v>
      </c>
      <c r="F134" s="60" t="n">
        <v>1.23</v>
      </c>
      <c r="G134" s="60" t="n">
        <v>0.14</v>
      </c>
      <c r="H134" s="61" t="n">
        <v>9.914248167</v>
      </c>
      <c r="I134" s="62" t="n">
        <f aca="false">H134</f>
        <v>9.914248167</v>
      </c>
      <c r="J134" s="62" t="n">
        <f aca="false">10+LOG10(SIN(RADIANS(D134+E134/60+F134/3600)))</f>
        <v>9.91424816722205</v>
      </c>
      <c r="K134" s="63" t="n">
        <f aca="false">(I134-J134)*10000000000</f>
        <v>-2.22053486709228</v>
      </c>
      <c r="L134" s="64" t="s">
        <v>100</v>
      </c>
      <c r="M134" s="64"/>
      <c r="N134" s="61" t="n">
        <v>3.86675131</v>
      </c>
      <c r="O134" s="65" t="n">
        <f aca="false">O136+I134-I136</f>
        <v>3.86675130969999</v>
      </c>
      <c r="P134" s="66" t="n">
        <f aca="false">IF(N134="","",(O134-N134)*10000000000)</f>
        <v>-3.00005797981839</v>
      </c>
      <c r="Q134" s="59" t="n">
        <v>0.05</v>
      </c>
      <c r="R134" s="62" t="n">
        <f aca="false">I134-COS(RADIANS(D134+E134/60+F134/3600))/SIN(RADIANS(D134+E134/60+F134/3600))*RADIANS(Q134/3600)/LN(10)</f>
        <v>9.91424809374137</v>
      </c>
      <c r="S134" s="65" t="n">
        <f aca="false">S136+R134-R136</f>
        <v>3.8667512029632</v>
      </c>
      <c r="T134" s="65" t="n">
        <f aca="false">T136+J134-J136</f>
        <v>3.86675130951535</v>
      </c>
      <c r="U134" s="67" t="n">
        <f aca="false">Summary!$C$6*ASIN(10^O134/Summary!$C$6)</f>
        <v>7357.86265499005</v>
      </c>
      <c r="V134" s="68" t="n">
        <v>7357.8627</v>
      </c>
      <c r="W134" s="69" t="n">
        <f aca="false">IF(V134="","",(V134-U134)*Summary!$C$7*1000)</f>
        <v>0.0877260352933373</v>
      </c>
      <c r="X134" s="70" t="n">
        <f aca="false">U134*Summary!$C$7</f>
        <v>14340.7435497171</v>
      </c>
      <c r="Y134" s="71" t="n">
        <f aca="false">(D134+D135+D136-180)*3600+(E134+E135+E136)*60+F134+F135+F136-(G134+G135+G136)</f>
        <v>-7.43849426498855E-015</v>
      </c>
    </row>
    <row r="135" customFormat="false" ht="15" hidden="false" customHeight="false" outlineLevel="0" collapsed="false">
      <c r="A135" s="58" t="n">
        <v>44</v>
      </c>
      <c r="B135" s="58" t="s">
        <v>204</v>
      </c>
      <c r="C135" s="58" t="s">
        <v>212</v>
      </c>
      <c r="D135" s="59" t="n">
        <v>43</v>
      </c>
      <c r="E135" s="59" t="n">
        <v>52</v>
      </c>
      <c r="F135" s="60" t="n">
        <v>3.44</v>
      </c>
      <c r="G135" s="60" t="n">
        <v>0.12</v>
      </c>
      <c r="H135" s="61" t="n">
        <v>9.8407298094</v>
      </c>
      <c r="I135" s="62" t="n">
        <f aca="false">H135</f>
        <v>9.8407298094</v>
      </c>
      <c r="J135" s="62" t="n">
        <f aca="false">10+LOG10(SIN(RADIANS(D135+E135/60+F135/3600)))</f>
        <v>9.84072980974787</v>
      </c>
      <c r="K135" s="63" t="n">
        <f aca="false">(I135-J135)*10000000000</f>
        <v>-3.4786751257343</v>
      </c>
      <c r="L135" s="64" t="s">
        <v>100</v>
      </c>
      <c r="M135" s="64"/>
      <c r="N135" s="61" t="n">
        <v>3.7932329524</v>
      </c>
      <c r="O135" s="65" t="n">
        <f aca="false">O136+I135-I136</f>
        <v>3.7932329521</v>
      </c>
      <c r="P135" s="66" t="n">
        <f aca="false">IF(N135="","",(O135-N135)*10000000000)</f>
        <v>-3.0000490980342</v>
      </c>
      <c r="Q135" s="59" t="n">
        <v>0.05</v>
      </c>
      <c r="R135" s="62" t="n">
        <f aca="false">I135-COS(RADIANS(D135+E135/60+F135/3600))/SIN(RADIANS(D135+E135/60+F135/3600))*RADIANS(Q135/3600)/LN(10)</f>
        <v>9.84072969987829</v>
      </c>
      <c r="S135" s="65" t="n">
        <f aca="false">S136+R135-R136</f>
        <v>3.79323280910013</v>
      </c>
      <c r="T135" s="65" t="n">
        <f aca="false">T136+J135-J136</f>
        <v>3.79323295204117</v>
      </c>
      <c r="U135" s="67" t="n">
        <f aca="false">Summary!$C$6*ASIN(10^O135/Summary!$C$6)</f>
        <v>6212.02527091351</v>
      </c>
      <c r="V135" s="68" t="n">
        <v>6212.1595</v>
      </c>
      <c r="W135" s="69" t="n">
        <f aca="false">IF(V135="","",(V135-U135)*Summary!$C$7*1000)</f>
        <v>261.617401217184</v>
      </c>
      <c r="X135" s="70" t="n">
        <f aca="false">U135*Summary!$C$7</f>
        <v>12107.4645602573</v>
      </c>
      <c r="Y135" s="64"/>
    </row>
    <row r="136" customFormat="false" ht="15" hidden="false" customHeight="false" outlineLevel="0" collapsed="false">
      <c r="A136" s="72" t="n">
        <v>44</v>
      </c>
      <c r="B136" s="72" t="s">
        <v>213</v>
      </c>
      <c r="C136" s="72" t="s">
        <v>202</v>
      </c>
      <c r="D136" s="73" t="n">
        <v>80</v>
      </c>
      <c r="E136" s="73" t="n">
        <v>57</v>
      </c>
      <c r="F136" s="74" t="n">
        <v>55.76</v>
      </c>
      <c r="G136" s="74" t="n">
        <v>0.17</v>
      </c>
      <c r="H136" s="75" t="n">
        <v>9.9945784144</v>
      </c>
      <c r="I136" s="76" t="n">
        <f aca="false">H136</f>
        <v>9.9945784144</v>
      </c>
      <c r="J136" s="76" t="n">
        <f aca="false">10+LOG10(SIN(RADIANS(D136+E136/60+F136/3600)))</f>
        <v>9.99457841456522</v>
      </c>
      <c r="K136" s="77" t="n">
        <f aca="false">(I136-J136)*10000000000</f>
        <v>-1.65224278703136</v>
      </c>
      <c r="L136" s="78" t="s">
        <v>103</v>
      </c>
      <c r="M136" s="78" t="n">
        <v>41</v>
      </c>
      <c r="N136" s="79"/>
      <c r="O136" s="79" t="n">
        <f aca="false">O125</f>
        <v>3.94708155709999</v>
      </c>
      <c r="P136" s="80"/>
      <c r="Q136" s="73" t="n">
        <v>-0.1</v>
      </c>
      <c r="R136" s="76" t="n">
        <f aca="false">I136-COS(RADIANS(D136+E136/60+F136/3600))/SIN(RADIANS(D136+E136/60+F136/3600))*RADIANS(Q136/3600)/LN(10)</f>
        <v>9.99457844787816</v>
      </c>
      <c r="S136" s="79" t="n">
        <f aca="false">S125</f>
        <v>3.94708155709999</v>
      </c>
      <c r="T136" s="79" t="n">
        <f aca="false">T125</f>
        <v>3.94708155685852</v>
      </c>
      <c r="U136" s="81"/>
      <c r="V136" s="81"/>
      <c r="W136" s="82"/>
      <c r="X136" s="83"/>
      <c r="Y136" s="78"/>
    </row>
    <row r="137" customFormat="false" ht="15" hidden="false" customHeight="false" outlineLevel="0" collapsed="false">
      <c r="A137" s="5" t="n">
        <v>45</v>
      </c>
      <c r="B137" s="5" t="s">
        <v>204</v>
      </c>
      <c r="C137" s="5" t="s">
        <v>214</v>
      </c>
      <c r="D137" s="38" t="n">
        <v>21</v>
      </c>
      <c r="E137" s="38" t="n">
        <v>15</v>
      </c>
      <c r="F137" s="30" t="n">
        <v>12.46</v>
      </c>
      <c r="G137" s="30" t="n">
        <v>0</v>
      </c>
      <c r="H137" s="16" t="n">
        <v>9.5593012268</v>
      </c>
      <c r="I137" s="12" t="n">
        <f aca="false">H137</f>
        <v>9.5593012268</v>
      </c>
      <c r="J137" s="12" t="n">
        <f aca="false">10+LOG10(SIN(RADIANS(D137+E137/60+F137/3600)))</f>
        <v>9.55930122765711</v>
      </c>
      <c r="K137" s="25" t="n">
        <f aca="false">(I137-J137)*10000000000</f>
        <v>-8.57113491292694</v>
      </c>
      <c r="L137" s="39" t="s">
        <v>100</v>
      </c>
      <c r="N137" s="16" t="n">
        <v>3.585612313</v>
      </c>
      <c r="O137" s="40" t="n">
        <f aca="false">O139+I137-I139</f>
        <v>3.5856123127</v>
      </c>
      <c r="P137" s="41" t="n">
        <f aca="false">IF(N137="","",(O137-N137)*10000000000)</f>
        <v>-3.0000490980342</v>
      </c>
      <c r="Q137" s="38" t="n">
        <v>0</v>
      </c>
      <c r="R137" s="12" t="n">
        <f aca="false">I137-COS(RADIANS(D137+E137/60+F137/3600))/SIN(RADIANS(D137+E137/60+F137/3600))*RADIANS(Q137/3600)/LN(10)</f>
        <v>9.5593012268</v>
      </c>
      <c r="S137" s="40" t="n">
        <f aca="false">S139+R137-R139</f>
        <v>3.5856122059632</v>
      </c>
      <c r="T137" s="40" t="n">
        <f aca="false">T139+J137-J139</f>
        <v>3.5856123131817</v>
      </c>
      <c r="U137" s="42" t="n">
        <f aca="false">Summary!$C$6*ASIN(10^O137/Summary!$C$6)</f>
        <v>3851.34490439157</v>
      </c>
      <c r="V137" s="15" t="n">
        <v>3851.3449</v>
      </c>
      <c r="W137" s="43" t="n">
        <f aca="false">IF(V137="","",(V137-U137)*Summary!$C$7*1000)</f>
        <v>-0.00855933721972693</v>
      </c>
      <c r="X137" s="44" t="n">
        <f aca="false">U137*Summary!$C$7</f>
        <v>7506.41214509922</v>
      </c>
      <c r="Y137" s="26" t="n">
        <f aca="false">(D137+D138+D139-180)*3600+(E137+E138+E139)*60+F137+F138+F139-(G137+G138+G139)</f>
        <v>1.13242748511766E-014</v>
      </c>
    </row>
    <row r="138" customFormat="false" ht="15" hidden="false" customHeight="false" outlineLevel="0" collapsed="false">
      <c r="A138" s="5" t="n">
        <v>45</v>
      </c>
      <c r="B138" s="5" t="s">
        <v>213</v>
      </c>
      <c r="C138" s="5" t="s">
        <v>215</v>
      </c>
      <c r="D138" s="38" t="n">
        <v>114</v>
      </c>
      <c r="E138" s="38" t="n">
        <v>54</v>
      </c>
      <c r="F138" s="30" t="n">
        <v>56.52</v>
      </c>
      <c r="G138" s="30" t="n">
        <v>0.28</v>
      </c>
      <c r="H138" s="16" t="n">
        <v>9.9575731019</v>
      </c>
      <c r="I138" s="12" t="n">
        <f aca="false">H138</f>
        <v>9.9575731019</v>
      </c>
      <c r="J138" s="12" t="n">
        <f aca="false">10+LOG10(SIN(RADIANS(D138+E138/60+F138/3600)))</f>
        <v>9.95757310209396</v>
      </c>
      <c r="K138" s="25" t="n">
        <f aca="false">(I138-J138)*10000000000</f>
        <v>-1.93962179650953</v>
      </c>
      <c r="L138" s="39" t="s">
        <v>100</v>
      </c>
      <c r="N138" s="16" t="n">
        <v>3.9838841882</v>
      </c>
      <c r="O138" s="40" t="n">
        <f aca="false">O139+I138-I139</f>
        <v>3.98388418779999</v>
      </c>
      <c r="P138" s="41" t="n">
        <f aca="false">IF(N138="","",(O138-N138)*10000000000)</f>
        <v>-4.00005806255876</v>
      </c>
      <c r="Q138" s="38" t="n">
        <v>0</v>
      </c>
      <c r="R138" s="12" t="n">
        <f aca="false">I138-COS(RADIANS(D138+E138/60+F138/3600))/SIN(RADIANS(D138+E138/60+F138/3600))*RADIANS(Q138/3600)/LN(10)</f>
        <v>9.9575731019</v>
      </c>
      <c r="S138" s="40" t="n">
        <f aca="false">S139+R138-R139</f>
        <v>3.9838840810632</v>
      </c>
      <c r="T138" s="40" t="n">
        <f aca="false">T139+J138-J139</f>
        <v>3.98388418761854</v>
      </c>
      <c r="U138" s="42" t="n">
        <f aca="false">Summary!$C$6*ASIN(10^O138/Summary!$C$6)</f>
        <v>9635.73433089393</v>
      </c>
      <c r="V138" s="15" t="n">
        <v>9635.7347</v>
      </c>
      <c r="W138" s="43" t="n">
        <f aca="false">IF(V138="","",(V138-U138)*Summary!$C$7*1000)</f>
        <v>0.719401236840222</v>
      </c>
      <c r="X138" s="44" t="n">
        <f aca="false">U138*Summary!$C$7</f>
        <v>18780.3987967674</v>
      </c>
    </row>
    <row r="139" customFormat="false" ht="15" hidden="false" customHeight="false" outlineLevel="0" collapsed="false">
      <c r="A139" s="45" t="n">
        <v>45</v>
      </c>
      <c r="B139" s="45" t="s">
        <v>216</v>
      </c>
      <c r="C139" s="45" t="s">
        <v>211</v>
      </c>
      <c r="D139" s="46" t="n">
        <v>43</v>
      </c>
      <c r="E139" s="46" t="n">
        <v>49</v>
      </c>
      <c r="F139" s="47" t="n">
        <v>51.32</v>
      </c>
      <c r="G139" s="47" t="n">
        <v>0.02</v>
      </c>
      <c r="H139" s="48" t="n">
        <v>9.8404402238</v>
      </c>
      <c r="I139" s="49" t="n">
        <f aca="false">H139</f>
        <v>9.8404402238</v>
      </c>
      <c r="J139" s="49" t="n">
        <f aca="false">10+LOG10(SIN(RADIANS(D139+E139/60+F139/3600)))</f>
        <v>9.84044022399077</v>
      </c>
      <c r="K139" s="50" t="n">
        <f aca="false">(I139-J139)*10000000000</f>
        <v>-1.90773619124229</v>
      </c>
      <c r="L139" s="51" t="s">
        <v>103</v>
      </c>
      <c r="M139" s="51" t="n">
        <v>44</v>
      </c>
      <c r="N139" s="52"/>
      <c r="O139" s="52" t="n">
        <f aca="false">O134</f>
        <v>3.86675130969999</v>
      </c>
      <c r="P139" s="53"/>
      <c r="Q139" s="46" t="n">
        <v>0</v>
      </c>
      <c r="R139" s="49" t="n">
        <f aca="false">I139-COS(RADIANS(D139+E139/60+F139/3600))/SIN(RADIANS(D139+E139/60+F139/3600))*RADIANS(Q139/3600)/LN(10)</f>
        <v>9.8404402238</v>
      </c>
      <c r="S139" s="52" t="n">
        <f aca="false">S134</f>
        <v>3.8667512029632</v>
      </c>
      <c r="T139" s="52" t="n">
        <f aca="false">T134</f>
        <v>3.86675130951535</v>
      </c>
      <c r="U139" s="54"/>
      <c r="V139" s="54"/>
      <c r="W139" s="56"/>
      <c r="X139" s="57"/>
      <c r="Y139" s="51"/>
    </row>
    <row r="140" customFormat="false" ht="15" hidden="false" customHeight="false" outlineLevel="0" collapsed="false">
      <c r="A140" s="58" t="n">
        <v>46</v>
      </c>
      <c r="B140" s="58" t="s">
        <v>198</v>
      </c>
      <c r="C140" s="58" t="s">
        <v>217</v>
      </c>
      <c r="D140" s="59" t="n">
        <v>19</v>
      </c>
      <c r="E140" s="59" t="n">
        <v>37</v>
      </c>
      <c r="F140" s="60" t="n">
        <v>23</v>
      </c>
      <c r="G140" s="60" t="n">
        <v>0</v>
      </c>
      <c r="H140" s="61" t="n">
        <v>9.5261202932</v>
      </c>
      <c r="I140" s="62" t="n">
        <f aca="false">H140</f>
        <v>9.5261202932</v>
      </c>
      <c r="J140" s="62" t="n">
        <f aca="false">10+LOG10(SIN(RADIANS(D140+E140/60+F140/3600)))</f>
        <v>9.52612029398654</v>
      </c>
      <c r="K140" s="63" t="n">
        <f aca="false">(I140-J140)*10000000000</f>
        <v>-7.86538834063322</v>
      </c>
      <c r="L140" s="64" t="s">
        <v>100</v>
      </c>
      <c r="M140" s="64"/>
      <c r="N140" s="61" t="n">
        <v>3.3290219427</v>
      </c>
      <c r="O140" s="65" t="n">
        <f aca="false">O142+I140-I142</f>
        <v>3.3290219425</v>
      </c>
      <c r="P140" s="66" t="n">
        <f aca="false">IF(N140="","",(O140-N140)*10000000000)</f>
        <v>-2.00004457440173</v>
      </c>
      <c r="Q140" s="59" t="n">
        <v>0</v>
      </c>
      <c r="R140" s="62" t="n">
        <f aca="false">I140-COS(RADIANS(D140+E140/60+F140/3600))/SIN(RADIANS(D140+E140/60+F140/3600))*RADIANS(Q140/3600)/LN(10)</f>
        <v>9.5261202932</v>
      </c>
      <c r="S140" s="65" t="n">
        <f aca="false">S142+R140-R142</f>
        <v>3.32902179950013</v>
      </c>
      <c r="T140" s="65" t="n">
        <f aca="false">T142+J140-J142</f>
        <v>3.32902194310723</v>
      </c>
      <c r="U140" s="67" t="n">
        <f aca="false">Summary!$C$6*ASIN(10^O140/Summary!$C$6)</f>
        <v>2133.15283841072</v>
      </c>
      <c r="V140" s="68" t="n">
        <v>2133.1528</v>
      </c>
      <c r="W140" s="69" t="n">
        <f aca="false">IF(V140="","",(V140-U140)*Summary!$C$7*1000)</f>
        <v>-0.0748638929866516</v>
      </c>
      <c r="X140" s="70" t="n">
        <f aca="false">U140*Summary!$C$7</f>
        <v>4157.59293729853</v>
      </c>
      <c r="Y140" s="71" t="n">
        <f aca="false">(D140+D141+D142-180)*3600+(E140+E141+E142)*60+F140+F141+F142-(G140+G141+G142)</f>
        <v>0</v>
      </c>
    </row>
    <row r="141" customFormat="false" ht="15" hidden="false" customHeight="false" outlineLevel="0" collapsed="false">
      <c r="A141" s="58" t="n">
        <v>46</v>
      </c>
      <c r="B141" s="58" t="s">
        <v>213</v>
      </c>
      <c r="C141" s="58" t="s">
        <v>218</v>
      </c>
      <c r="D141" s="59" t="n">
        <v>58</v>
      </c>
      <c r="E141" s="59" t="n">
        <v>19</v>
      </c>
      <c r="F141" s="60" t="n">
        <v>54</v>
      </c>
      <c r="G141" s="60" t="n">
        <v>0</v>
      </c>
      <c r="H141" s="61" t="n">
        <v>9.9299813053</v>
      </c>
      <c r="I141" s="62" t="n">
        <f aca="false">H141</f>
        <v>9.9299813053</v>
      </c>
      <c r="J141" s="62" t="n">
        <f aca="false">10+LOG10(SIN(RADIANS(D141+E141/60+F141/3600)))</f>
        <v>9.92998130547417</v>
      </c>
      <c r="K141" s="63" t="n">
        <f aca="false">(I141-J141)*10000000000</f>
        <v>-1.74171788103195</v>
      </c>
      <c r="L141" s="64" t="s">
        <v>100</v>
      </c>
      <c r="M141" s="64"/>
      <c r="N141" s="61" t="n">
        <v>3.7328829548</v>
      </c>
      <c r="O141" s="65" t="n">
        <f aca="false">O142+I141-I142</f>
        <v>3.7328829546</v>
      </c>
      <c r="P141" s="66" t="n">
        <f aca="false">IF(N141="","",(O141-N141)*10000000000)</f>
        <v>-2.00004457440173</v>
      </c>
      <c r="Q141" s="59" t="n">
        <v>0</v>
      </c>
      <c r="R141" s="62" t="n">
        <f aca="false">I141-COS(RADIANS(D141+E141/60+F141/3600))/SIN(RADIANS(D141+E141/60+F141/3600))*RADIANS(Q141/3600)/LN(10)</f>
        <v>9.9299813053</v>
      </c>
      <c r="S141" s="65" t="n">
        <f aca="false">S142+R141-R142</f>
        <v>3.73288281160013</v>
      </c>
      <c r="T141" s="65" t="n">
        <f aca="false">T142+J141-J142</f>
        <v>3.73288295459486</v>
      </c>
      <c r="U141" s="67" t="n">
        <f aca="false">Summary!$C$6*ASIN(10^O141/Summary!$C$6)</f>
        <v>5406.0885222738</v>
      </c>
      <c r="V141" s="68" t="n">
        <v>5406.0885</v>
      </c>
      <c r="W141" s="69" t="n">
        <f aca="false">IF(V141="","",(V141-U141)*Summary!$C$7*1000)</f>
        <v>-0.0434124457455953</v>
      </c>
      <c r="X141" s="70" t="n">
        <f aca="false">U141*Summary!$C$7</f>
        <v>10536.6643467338</v>
      </c>
      <c r="Y141" s="64"/>
    </row>
    <row r="142" customFormat="false" ht="15" hidden="false" customHeight="false" outlineLevel="0" collapsed="false">
      <c r="A142" s="72" t="n">
        <v>46</v>
      </c>
      <c r="B142" s="72" t="s">
        <v>219</v>
      </c>
      <c r="C142" s="72" t="s">
        <v>212</v>
      </c>
      <c r="D142" s="73" t="n">
        <v>102</v>
      </c>
      <c r="E142" s="73" t="n">
        <v>2</v>
      </c>
      <c r="F142" s="74" t="n">
        <v>43</v>
      </c>
      <c r="G142" s="74" t="n">
        <v>0</v>
      </c>
      <c r="H142" s="75" t="n">
        <v>9.9903313028</v>
      </c>
      <c r="I142" s="76" t="n">
        <f aca="false">H142</f>
        <v>9.9903313028</v>
      </c>
      <c r="J142" s="76" t="n">
        <f aca="false">10+LOG10(SIN(RADIANS(D142+E142/60+F142/3600)))</f>
        <v>9.99033130292048</v>
      </c>
      <c r="K142" s="77" t="n">
        <f aca="false">(I142-J142)*10000000000</f>
        <v>-1.20481402632322</v>
      </c>
      <c r="L142" s="78" t="s">
        <v>103</v>
      </c>
      <c r="M142" s="78" t="n">
        <v>44</v>
      </c>
      <c r="N142" s="79"/>
      <c r="O142" s="79" t="n">
        <f aca="false">O135</f>
        <v>3.7932329521</v>
      </c>
      <c r="P142" s="80"/>
      <c r="Q142" s="73" t="n">
        <v>0</v>
      </c>
      <c r="R142" s="76" t="n">
        <f aca="false">I142-COS(RADIANS(D142+E142/60+F142/3600))/SIN(RADIANS(D142+E142/60+F142/3600))*RADIANS(Q142/3600)/LN(10)</f>
        <v>9.9903313028</v>
      </c>
      <c r="S142" s="79" t="n">
        <f aca="false">S135</f>
        <v>3.79323280910013</v>
      </c>
      <c r="T142" s="79" t="n">
        <f aca="false">T135</f>
        <v>3.79323295204117</v>
      </c>
      <c r="U142" s="81"/>
      <c r="V142" s="81"/>
      <c r="W142" s="82"/>
      <c r="X142" s="83"/>
      <c r="Y142" s="78"/>
    </row>
    <row r="143" customFormat="false" ht="15" hidden="false" customHeight="false" outlineLevel="0" collapsed="false">
      <c r="A143" s="5" t="n">
        <v>47</v>
      </c>
      <c r="B143" s="5" t="s">
        <v>204</v>
      </c>
      <c r="C143" s="5" t="s">
        <v>220</v>
      </c>
      <c r="D143" s="38" t="n">
        <v>53</v>
      </c>
      <c r="E143" s="38" t="n">
        <v>22</v>
      </c>
      <c r="F143" s="30" t="n">
        <v>25.16</v>
      </c>
      <c r="G143" s="30" t="n">
        <v>0.15</v>
      </c>
      <c r="H143" s="16" t="n">
        <v>9.9044684449</v>
      </c>
      <c r="I143" s="12" t="n">
        <f aca="false">H143</f>
        <v>9.9044684449</v>
      </c>
      <c r="J143" s="12" t="n">
        <f aca="false">10+LOG10(SIN(RADIANS(D143+E143/60+F143/3600)))</f>
        <v>9.90446844513208</v>
      </c>
      <c r="K143" s="25" t="n">
        <f aca="false">(I143-J143)*10000000000</f>
        <v>-2.32081021067643</v>
      </c>
      <c r="L143" s="39" t="s">
        <v>100</v>
      </c>
      <c r="N143" s="16" t="n">
        <v>3.9216394992</v>
      </c>
      <c r="O143" s="40" t="n">
        <f aca="false">O145+I143-I145</f>
        <v>3.92163949889999</v>
      </c>
      <c r="P143" s="41" t="n">
        <f aca="false">IF(N143="","",(O143-N143)*10000000000)</f>
        <v>-3.00005797981839</v>
      </c>
      <c r="Q143" s="38" t="n">
        <v>0.05</v>
      </c>
      <c r="R143" s="12" t="n">
        <f aca="false">I143-COS(RADIANS(D143+E143/60+F143/3600))/SIN(RADIANS(D143+E143/60+F143/3600))*RADIANS(Q143/3600)/LN(10)</f>
        <v>9.90446836664005</v>
      </c>
      <c r="S143" s="40" t="n">
        <f aca="false">S145+R143-R145</f>
        <v>3.9216391034437</v>
      </c>
      <c r="T143" s="40" t="n">
        <f aca="false">T145+J143-J145</f>
        <v>3.9216394986399</v>
      </c>
      <c r="U143" s="42" t="n">
        <f aca="false">Summary!$C$6*ASIN(10^O143/Summary!$C$6)</f>
        <v>8349.10593755495</v>
      </c>
      <c r="V143" s="15" t="n">
        <v>8349.1059</v>
      </c>
      <c r="W143" s="43" t="n">
        <f aca="false">IF(V143="","",(V143-U143)*Summary!$C$7*1000)</f>
        <v>-0.0731959642865813</v>
      </c>
      <c r="X143" s="44" t="n">
        <f aca="false">U143*Summary!$C$7</f>
        <v>16272.7129785026</v>
      </c>
      <c r="Y143" s="26" t="n">
        <f aca="false">(D143+D144+D145-180)*3600+(E143+E144+E145)*60+F143+F144+F145-(G143+G144+G145)</f>
        <v>-2.88657986402541E-015</v>
      </c>
    </row>
    <row r="144" customFormat="false" ht="15" hidden="false" customHeight="false" outlineLevel="0" collapsed="false">
      <c r="A144" s="5" t="n">
        <v>47</v>
      </c>
      <c r="B144" s="5" t="s">
        <v>213</v>
      </c>
      <c r="C144" s="5" t="s">
        <v>221</v>
      </c>
      <c r="D144" s="38" t="n">
        <v>81</v>
      </c>
      <c r="E144" s="38" t="n">
        <v>36</v>
      </c>
      <c r="F144" s="30" t="n">
        <v>50.14</v>
      </c>
      <c r="G144" s="30" t="n">
        <v>0.23</v>
      </c>
      <c r="H144" s="16" t="n">
        <v>9.9953314395</v>
      </c>
      <c r="I144" s="12" t="n">
        <f aca="false">H144</f>
        <v>9.9953314395</v>
      </c>
      <c r="J144" s="12" t="n">
        <f aca="false">10+LOG10(SIN(RADIANS(D144+E144/60+F144/3600)))</f>
        <v>9.9953314395258</v>
      </c>
      <c r="K144" s="25" t="n">
        <f aca="false">(I144-J144)*10000000000</f>
        <v>-0.258051358059674</v>
      </c>
      <c r="L144" s="39" t="s">
        <v>100</v>
      </c>
      <c r="N144" s="16" t="n">
        <v>4.0125024938</v>
      </c>
      <c r="O144" s="40" t="n">
        <f aca="false">O145+I144-I145</f>
        <v>4.01250249349999</v>
      </c>
      <c r="P144" s="41" t="n">
        <f aca="false">IF(N144="","",(O144-N144)*10000000000)</f>
        <v>-3.0000535389263</v>
      </c>
      <c r="Q144" s="38" t="n">
        <v>0.05</v>
      </c>
      <c r="R144" s="12" t="n">
        <f aca="false">I144-COS(RADIANS(D144+E144/60+F144/3600))/SIN(RADIANS(D144+E144/60+F144/3600))*RADIANS(Q144/3600)/LN(10)</f>
        <v>9.99533142398035</v>
      </c>
      <c r="S144" s="40" t="n">
        <f aca="false">S145+R144-R145</f>
        <v>4.012502160784</v>
      </c>
      <c r="T144" s="40" t="n">
        <f aca="false">T145+J144-J145</f>
        <v>4.01250249303362</v>
      </c>
      <c r="U144" s="42" t="n">
        <f aca="false">Summary!$C$6*ASIN(10^O144/Summary!$C$6)</f>
        <v>10292.0813874974</v>
      </c>
      <c r="V144" s="15" t="n">
        <v>10292.0814</v>
      </c>
      <c r="W144" s="43" t="n">
        <f aca="false">IF(V144="","",(V144-U144)*Summary!$C$7*1000)</f>
        <v>0.0243680282967528</v>
      </c>
      <c r="X144" s="44" t="n">
        <f aca="false">U144*Summary!$C$7</f>
        <v>20059.6432268028</v>
      </c>
    </row>
    <row r="145" customFormat="false" ht="15" hidden="false" customHeight="false" outlineLevel="0" collapsed="false">
      <c r="A145" s="45" t="n">
        <v>47</v>
      </c>
      <c r="B145" s="45" t="s">
        <v>222</v>
      </c>
      <c r="C145" s="45" t="s">
        <v>211</v>
      </c>
      <c r="D145" s="46" t="n">
        <v>45</v>
      </c>
      <c r="E145" s="46" t="n">
        <v>0</v>
      </c>
      <c r="F145" s="47" t="n">
        <v>45.25</v>
      </c>
      <c r="G145" s="47" t="n">
        <v>0.17</v>
      </c>
      <c r="H145" s="48" t="n">
        <v>9.8495802557</v>
      </c>
      <c r="I145" s="49" t="n">
        <f aca="false">H145</f>
        <v>9.8495802557</v>
      </c>
      <c r="J145" s="49" t="n">
        <f aca="false">10+LOG10(SIN(RADIANS(D145+E145/60+F145/3600)))</f>
        <v>9.84958025600754</v>
      </c>
      <c r="K145" s="50" t="n">
        <f aca="false">(I145-J145)*10000000000</f>
        <v>-3.07538883248526</v>
      </c>
      <c r="L145" s="51" t="s">
        <v>103</v>
      </c>
      <c r="M145" s="51" t="n">
        <v>44</v>
      </c>
      <c r="N145" s="52"/>
      <c r="O145" s="52" t="n">
        <f aca="false">O134</f>
        <v>3.86675130969999</v>
      </c>
      <c r="P145" s="53"/>
      <c r="Q145" s="46" t="n">
        <v>-0.1</v>
      </c>
      <c r="R145" s="49" t="n">
        <f aca="false">I145-COS(RADIANS(D145+E145/60+F145/3600))/SIN(RADIANS(D145+E145/60+F145/3600))*RADIANS(Q145/3600)/LN(10)</f>
        <v>9.84958046615954</v>
      </c>
      <c r="S145" s="52" t="n">
        <f aca="false">S134</f>
        <v>3.8667512029632</v>
      </c>
      <c r="T145" s="52" t="n">
        <f aca="false">T134</f>
        <v>3.86675130951535</v>
      </c>
      <c r="U145" s="54"/>
      <c r="V145" s="54"/>
      <c r="W145" s="56"/>
      <c r="X145" s="57"/>
      <c r="Y145" s="51"/>
    </row>
    <row r="146" customFormat="false" ht="15" hidden="false" customHeight="false" outlineLevel="0" collapsed="false">
      <c r="A146" s="58" t="n">
        <v>48</v>
      </c>
      <c r="B146" s="58" t="s">
        <v>204</v>
      </c>
      <c r="C146" s="58" t="s">
        <v>223</v>
      </c>
      <c r="D146" s="59" t="n">
        <v>70</v>
      </c>
      <c r="E146" s="59" t="n">
        <v>51</v>
      </c>
      <c r="F146" s="60" t="n">
        <v>38.21</v>
      </c>
      <c r="G146" s="60" t="n">
        <v>0.44</v>
      </c>
      <c r="H146" s="61" t="n">
        <v>9.975304835</v>
      </c>
      <c r="I146" s="62" t="n">
        <f aca="false">H146</f>
        <v>9.975304835</v>
      </c>
      <c r="J146" s="62" t="n">
        <f aca="false">10+LOG10(SIN(RADIANS(D146+E146/60+F146/3600)))</f>
        <v>9.97530483517615</v>
      </c>
      <c r="K146" s="63" t="n">
        <f aca="false">(I146-J146)*10000000000</f>
        <v>-1.76150649622286</v>
      </c>
      <c r="L146" s="64" t="s">
        <v>100</v>
      </c>
      <c r="M146" s="64"/>
      <c r="N146" s="61" t="n">
        <v>4.1283409899</v>
      </c>
      <c r="O146" s="65" t="n">
        <f aca="false">O148+I146-I148</f>
        <v>4.12834098949999</v>
      </c>
      <c r="P146" s="66" t="n">
        <f aca="false">IF(N146="","",(O146-N146)*10000000000)</f>
        <v>-4.00007138523506</v>
      </c>
      <c r="Q146" s="59" t="n">
        <v>0.05</v>
      </c>
      <c r="R146" s="62" t="n">
        <f aca="false">I146-COS(RADIANS(D146+E146/60+F146/3600))/SIN(RADIANS(D146+E146/60+F146/3600))*RADIANS(Q146/3600)/LN(10)</f>
        <v>9.97530479846387</v>
      </c>
      <c r="S146" s="65" t="n">
        <f aca="false">S148+R146-R148</f>
        <v>4.12834041937767</v>
      </c>
      <c r="T146" s="65" t="n">
        <f aca="false">T148+J146-J148</f>
        <v>4.12834098902604</v>
      </c>
      <c r="U146" s="67" t="n">
        <f aca="false">Summary!$C$6*ASIN(10^O146/Summary!$C$6)</f>
        <v>13438.2344634188</v>
      </c>
      <c r="V146" s="68" t="n">
        <v>13438.2345</v>
      </c>
      <c r="W146" s="69" t="n">
        <f aca="false">IF(V146="","",(V146-U146)*Summary!$C$7*1000)</f>
        <v>0.0712981527413047</v>
      </c>
      <c r="X146" s="70" t="n">
        <f aca="false">U146*Summary!$C$7</f>
        <v>26191.6106941955</v>
      </c>
      <c r="Y146" s="71" t="n">
        <f aca="false">(D146+D147+D148-180)*3600+(E146+E147+E148)*60+F146+F147+F148-(G146+G147+G148)</f>
        <v>1.37667655053519E-014</v>
      </c>
    </row>
    <row r="147" customFormat="false" ht="15" hidden="false" customHeight="false" outlineLevel="0" collapsed="false">
      <c r="A147" s="58" t="n">
        <v>48</v>
      </c>
      <c r="B147" s="58" t="s">
        <v>222</v>
      </c>
      <c r="C147" s="58" t="s">
        <v>224</v>
      </c>
      <c r="D147" s="59" t="n">
        <v>62</v>
      </c>
      <c r="E147" s="59" t="n">
        <v>47</v>
      </c>
      <c r="F147" s="60" t="n">
        <v>29.98</v>
      </c>
      <c r="G147" s="60" t="n">
        <v>0.4</v>
      </c>
      <c r="H147" s="61" t="n">
        <v>9.9490726299</v>
      </c>
      <c r="I147" s="62" t="n">
        <f aca="false">H147</f>
        <v>9.9490726299</v>
      </c>
      <c r="J147" s="62" t="n">
        <f aca="false">10+LOG10(SIN(RADIANS(D147+E147/60+F147/3600)))</f>
        <v>9.94907262997486</v>
      </c>
      <c r="K147" s="63" t="n">
        <f aca="false">(I147-J147)*10000000000</f>
        <v>-0.748627826396842</v>
      </c>
      <c r="L147" s="64" t="s">
        <v>100</v>
      </c>
      <c r="M147" s="64"/>
      <c r="N147" s="61" t="n">
        <v>4.1021087848</v>
      </c>
      <c r="O147" s="65" t="n">
        <f aca="false">O148+I147-I148</f>
        <v>4.10210878439999</v>
      </c>
      <c r="P147" s="66" t="n">
        <f aca="false">IF(N147="","",(O147-N147)*10000000000)</f>
        <v>-4.00007138523506</v>
      </c>
      <c r="Q147" s="59" t="n">
        <v>0.05</v>
      </c>
      <c r="R147" s="62" t="n">
        <f aca="false">I147-COS(RADIANS(D147+E147/60+F147/3600))/SIN(RADIANS(D147+E147/60+F147/3600))*RADIANS(Q147/3600)/LN(10)</f>
        <v>9.94907257577614</v>
      </c>
      <c r="S147" s="65" t="n">
        <f aca="false">S148+R147-R148</f>
        <v>4.10210819668995</v>
      </c>
      <c r="T147" s="65" t="n">
        <f aca="false">T148+J147-J148</f>
        <v>4.10210878382475</v>
      </c>
      <c r="U147" s="67" t="n">
        <f aca="false">Summary!$C$6*ASIN(10^O147/Summary!$C$6)</f>
        <v>12650.5634645422</v>
      </c>
      <c r="V147" s="68" t="n">
        <v>12650.5635</v>
      </c>
      <c r="W147" s="69" t="n">
        <f aca="false">IF(V147="","",(V147-U147)*Summary!$C$7*1000)</f>
        <v>0.069108596814071</v>
      </c>
      <c r="X147" s="70" t="n">
        <f aca="false">U147*Summary!$C$7</f>
        <v>24656.4110953312</v>
      </c>
      <c r="Y147" s="64"/>
    </row>
    <row r="148" customFormat="false" ht="15" hidden="false" customHeight="false" outlineLevel="0" collapsed="false">
      <c r="A148" s="72" t="n">
        <v>48</v>
      </c>
      <c r="B148" s="72" t="s">
        <v>225</v>
      </c>
      <c r="C148" s="72" t="s">
        <v>221</v>
      </c>
      <c r="D148" s="73" t="n">
        <v>46</v>
      </c>
      <c r="E148" s="73" t="n">
        <v>20</v>
      </c>
      <c r="F148" s="74" t="n">
        <v>52.99</v>
      </c>
      <c r="G148" s="74" t="n">
        <v>0.34</v>
      </c>
      <c r="H148" s="75" t="n">
        <v>9.859466339</v>
      </c>
      <c r="I148" s="76" t="n">
        <f aca="false">H148</f>
        <v>9.859466339</v>
      </c>
      <c r="J148" s="76" t="n">
        <f aca="false">10+LOG10(SIN(RADIANS(D148+E148/60+F148/3600)))</f>
        <v>9.85946633918373</v>
      </c>
      <c r="K148" s="77" t="n">
        <f aca="false">(I148-J148)*10000000000</f>
        <v>-1.83732140612847</v>
      </c>
      <c r="L148" s="78" t="s">
        <v>103</v>
      </c>
      <c r="M148" s="78" t="n">
        <v>47</v>
      </c>
      <c r="N148" s="79"/>
      <c r="O148" s="79" t="n">
        <f aca="false">O144</f>
        <v>4.01250249349999</v>
      </c>
      <c r="P148" s="80"/>
      <c r="Q148" s="73" t="n">
        <v>-0.1</v>
      </c>
      <c r="R148" s="76" t="n">
        <f aca="false">I148-COS(RADIANS(D148+E148/60+F148/3600))/SIN(RADIANS(D148+E148/60+F148/3600))*RADIANS(Q148/3600)/LN(10)</f>
        <v>9.8594665398702</v>
      </c>
      <c r="S148" s="79" t="n">
        <f aca="false">S144</f>
        <v>4.012502160784</v>
      </c>
      <c r="T148" s="79" t="n">
        <f aca="false">T144</f>
        <v>4.01250249303362</v>
      </c>
      <c r="U148" s="81"/>
      <c r="V148" s="81"/>
      <c r="W148" s="82"/>
      <c r="X148" s="83"/>
      <c r="Y148" s="78"/>
    </row>
    <row r="149" customFormat="false" ht="15" hidden="false" customHeight="false" outlineLevel="0" collapsed="false">
      <c r="A149" s="5" t="n">
        <v>49</v>
      </c>
      <c r="B149" s="5" t="s">
        <v>222</v>
      </c>
      <c r="C149" s="5" t="s">
        <v>226</v>
      </c>
      <c r="D149" s="38" t="n">
        <v>68</v>
      </c>
      <c r="E149" s="38" t="n">
        <v>35</v>
      </c>
      <c r="F149" s="30" t="n">
        <v>59.69</v>
      </c>
      <c r="G149" s="30" t="n">
        <v>0.53</v>
      </c>
      <c r="H149" s="16" t="n">
        <v>9.9689754614</v>
      </c>
      <c r="I149" s="12" t="n">
        <f aca="false">H149</f>
        <v>9.9689754614</v>
      </c>
      <c r="J149" s="12" t="n">
        <f aca="false">10+LOG10(SIN(RADIANS(D149+E149/60+F149/3600)))</f>
        <v>9.9689754614853</v>
      </c>
      <c r="K149" s="25" t="n">
        <f aca="false">(I149-J149)*10000000000</f>
        <v>-0.852953263574818</v>
      </c>
      <c r="L149" s="39" t="s">
        <v>100</v>
      </c>
      <c r="N149" s="16" t="n">
        <v>4.1584232868</v>
      </c>
      <c r="O149" s="40" t="n">
        <f aca="false">O151+I149-I151</f>
        <v>4.15842328639999</v>
      </c>
      <c r="P149" s="41" t="n">
        <f aca="false">IF(N149="","",(O149-N149)*10000000000)</f>
        <v>-4.00007138523506</v>
      </c>
      <c r="Q149" s="38" t="n">
        <v>0.05</v>
      </c>
      <c r="R149" s="12" t="n">
        <f aca="false">I149-COS(RADIANS(D149+E149/60+F149/3600))/SIN(RADIANS(D149+E149/60+F149/3600))*RADIANS(Q149/3600)/LN(10)</f>
        <v>9.96897542014262</v>
      </c>
      <c r="S149" s="40" t="n">
        <f aca="false">S151+R149-R151</f>
        <v>4.15842255498849</v>
      </c>
      <c r="T149" s="40" t="n">
        <f aca="false">T151+J149-J151</f>
        <v>4.1584232859389</v>
      </c>
      <c r="U149" s="42" t="n">
        <f aca="false">Summary!$C$6*ASIN(10^O149/Summary!$C$6)</f>
        <v>14402.0625584485</v>
      </c>
      <c r="V149" s="15" t="n">
        <v>14402.0625</v>
      </c>
      <c r="W149" s="43" t="n">
        <f aca="false">IF(V149="","",(V149-U149)*Summary!$C$7*1000)</f>
        <v>-0.1139182485972</v>
      </c>
      <c r="X149" s="44" t="n">
        <f aca="false">U149*Summary!$C$7</f>
        <v>28070.1469193124</v>
      </c>
      <c r="Y149" s="26" t="n">
        <f aca="false">(D149+D150+D151-180)*3600+(E149+E150+E151)*60+F149+F150+F151-(G149+G150+G151)</f>
        <v>0</v>
      </c>
    </row>
    <row r="150" customFormat="false" ht="15" hidden="false" customHeight="false" outlineLevel="0" collapsed="false">
      <c r="A150" s="5" t="n">
        <v>49</v>
      </c>
      <c r="B150" s="5" t="s">
        <v>225</v>
      </c>
      <c r="C150" s="5" t="s">
        <v>227</v>
      </c>
      <c r="D150" s="38" t="n">
        <v>51</v>
      </c>
      <c r="E150" s="38" t="n">
        <v>5</v>
      </c>
      <c r="F150" s="30" t="n">
        <v>13.8</v>
      </c>
      <c r="G150" s="30" t="n">
        <v>0.43</v>
      </c>
      <c r="H150" s="16" t="n">
        <v>9.8910367968</v>
      </c>
      <c r="I150" s="12" t="n">
        <f aca="false">H150</f>
        <v>9.8910367968</v>
      </c>
      <c r="J150" s="12" t="n">
        <f aca="false">10+LOG10(SIN(RADIANS(D150+E150/60+F150/3600)))</f>
        <v>9.89103679693873</v>
      </c>
      <c r="K150" s="25" t="n">
        <f aca="false">(I150-J150)*10000000000</f>
        <v>-1.3873346915716</v>
      </c>
      <c r="L150" s="39" t="s">
        <v>100</v>
      </c>
      <c r="N150" s="16" t="n">
        <v>4.0804846202</v>
      </c>
      <c r="O150" s="40" t="n">
        <f aca="false">O151+I150-I151</f>
        <v>4.08048462179999</v>
      </c>
      <c r="P150" s="41" t="n">
        <f aca="false">IF(N150="","",(O150-N150)*10000000000)</f>
        <v>15.9999302695724</v>
      </c>
      <c r="Q150" s="38" t="n">
        <v>0.05</v>
      </c>
      <c r="R150" s="12" t="n">
        <f aca="false">I150-COS(RADIANS(D150+E150/60+F150/3600))/SIN(RADIANS(D150+E150/60+F150/3600))*RADIANS(Q150/3600)/LN(10)</f>
        <v>9.89103671181407</v>
      </c>
      <c r="S150" s="40" t="n">
        <f aca="false">S151+R150-R151</f>
        <v>4.08048384665994</v>
      </c>
      <c r="T150" s="40" t="n">
        <f aca="false">T151+J150-J151</f>
        <v>4.08048462139234</v>
      </c>
      <c r="U150" s="42" t="n">
        <f aca="false">Summary!$C$6*ASIN(10^O150/Summary!$C$6)</f>
        <v>12036.0949252167</v>
      </c>
      <c r="V150" s="15" t="n">
        <v>12036.0949</v>
      </c>
      <c r="W150" s="43" t="n">
        <f aca="false">IF(V150="","",(V150-U150)*Summary!$C$7*1000)</f>
        <v>-0.0491483155733638</v>
      </c>
      <c r="X150" s="44" t="n">
        <f aca="false">U150*Summary!$C$7</f>
        <v>23458.7894278679</v>
      </c>
    </row>
    <row r="151" customFormat="false" ht="15" hidden="false" customHeight="false" outlineLevel="0" collapsed="false">
      <c r="A151" s="45" t="n">
        <v>49</v>
      </c>
      <c r="B151" s="45" t="s">
        <v>228</v>
      </c>
      <c r="C151" s="45" t="s">
        <v>223</v>
      </c>
      <c r="D151" s="46" t="n">
        <v>60</v>
      </c>
      <c r="E151" s="46" t="n">
        <v>18</v>
      </c>
      <c r="F151" s="47" t="n">
        <v>47.96</v>
      </c>
      <c r="G151" s="47" t="n">
        <v>0.49</v>
      </c>
      <c r="H151" s="48" t="n">
        <v>9.9388931645</v>
      </c>
      <c r="I151" s="49" t="n">
        <f aca="false">H151</f>
        <v>9.9388931645</v>
      </c>
      <c r="J151" s="49" t="n">
        <f aca="false">10+LOG10(SIN(RADIANS(D151+E151/60+F151/3600)))</f>
        <v>9.93889316457243</v>
      </c>
      <c r="K151" s="50" t="n">
        <f aca="false">(I151-J151)*10000000000</f>
        <v>-0.724327264833846</v>
      </c>
      <c r="L151" s="51" t="s">
        <v>103</v>
      </c>
      <c r="M151" s="51" t="n">
        <v>48</v>
      </c>
      <c r="N151" s="52"/>
      <c r="O151" s="52" t="n">
        <f aca="false">O146</f>
        <v>4.12834098949999</v>
      </c>
      <c r="P151" s="53"/>
      <c r="Q151" s="46" t="n">
        <v>-0.1</v>
      </c>
      <c r="R151" s="49" t="n">
        <f aca="false">I151-COS(RADIANS(D151+E151/60+F151/3600))/SIN(RADIANS(D151+E151/60+F151/3600))*RADIANS(Q151/3600)/LN(10)</f>
        <v>9.93889328453181</v>
      </c>
      <c r="S151" s="52" t="n">
        <f aca="false">S146</f>
        <v>4.12834041937767</v>
      </c>
      <c r="T151" s="52" t="n">
        <f aca="false">T146</f>
        <v>4.12834098902604</v>
      </c>
      <c r="U151" s="54"/>
      <c r="V151" s="54"/>
      <c r="W151" s="56"/>
      <c r="X151" s="57"/>
      <c r="Y151" s="51"/>
    </row>
    <row r="152" customFormat="false" ht="15" hidden="false" customHeight="false" outlineLevel="0" collapsed="false">
      <c r="A152" s="58" t="n">
        <v>50</v>
      </c>
      <c r="B152" s="58" t="s">
        <v>225</v>
      </c>
      <c r="C152" s="58" t="s">
        <v>229</v>
      </c>
      <c r="D152" s="59" t="n">
        <v>35</v>
      </c>
      <c r="E152" s="59" t="n">
        <v>31</v>
      </c>
      <c r="F152" s="60" t="n">
        <v>38</v>
      </c>
      <c r="G152" s="60" t="n">
        <v>0</v>
      </c>
      <c r="H152" s="61" t="n">
        <v>9.7642431702</v>
      </c>
      <c r="I152" s="62" t="n">
        <f aca="false">H152</f>
        <v>9.7642431702</v>
      </c>
      <c r="J152" s="62" t="n">
        <f aca="false">10+LOG10(SIN(RADIANS(D152+E152/60+F152/3600)))</f>
        <v>9.76424317047955</v>
      </c>
      <c r="K152" s="63" t="n">
        <f aca="false">(I152-J152)*10000000000</f>
        <v>-2.79545275816417</v>
      </c>
      <c r="L152" s="64" t="s">
        <v>100</v>
      </c>
      <c r="M152" s="64"/>
      <c r="N152" s="61" t="n">
        <v>3.9638222363</v>
      </c>
      <c r="O152" s="65" t="n">
        <f aca="false">O154+I152-I154</f>
        <v>3.96382223589999</v>
      </c>
      <c r="P152" s="66" t="n">
        <f aca="false">IF(N152="","",(O152-N152)*10000000000)</f>
        <v>-4.00006694434296</v>
      </c>
      <c r="Q152" s="59" t="n">
        <v>0</v>
      </c>
      <c r="R152" s="62" t="n">
        <f aca="false">I152-COS(RADIANS(D152+E152/60+F152/3600))/SIN(RADIANS(D152+E152/60+F152/3600))*RADIANS(Q152/3600)/LN(10)</f>
        <v>9.7642431702</v>
      </c>
      <c r="S152" s="65" t="n">
        <f aca="false">S154+R152-R154</f>
        <v>3.96382150448849</v>
      </c>
      <c r="T152" s="65" t="n">
        <f aca="false">T154+J152-J154</f>
        <v>3.96382031199802</v>
      </c>
      <c r="U152" s="67" t="n">
        <f aca="false">Summary!$C$6*ASIN(10^O152/Summary!$C$6)</f>
        <v>9200.7410945663</v>
      </c>
      <c r="V152" s="68" t="n">
        <v>9200.7411</v>
      </c>
      <c r="W152" s="69" t="n">
        <f aca="false">IF(V152="","",(V152-U152)*Summary!$C$7*1000)</f>
        <v>0.0105904795389234</v>
      </c>
      <c r="X152" s="70" t="n">
        <f aca="false">U152*Summary!$C$7</f>
        <v>17932.5810621151</v>
      </c>
      <c r="Y152" s="71" t="n">
        <f aca="false">(D152+D153+D154-180)*3600+(E152+E153+E154)*60+F152+F153+F154-(G152+G153+G154)</f>
        <v>0</v>
      </c>
    </row>
    <row r="153" customFormat="false" ht="15" hidden="false" customHeight="false" outlineLevel="0" collapsed="false">
      <c r="A153" s="58" t="n">
        <v>50</v>
      </c>
      <c r="B153" s="58" t="s">
        <v>228</v>
      </c>
      <c r="C153" s="58" t="s">
        <v>230</v>
      </c>
      <c r="D153" s="59" t="n">
        <v>29</v>
      </c>
      <c r="E153" s="59" t="n">
        <v>55</v>
      </c>
      <c r="F153" s="60" t="n">
        <v>18</v>
      </c>
      <c r="G153" s="60" t="n">
        <v>0</v>
      </c>
      <c r="H153" s="61" t="n">
        <v>9.6979399617</v>
      </c>
      <c r="I153" s="62" t="n">
        <f aca="false">H153</f>
        <v>9.6979399617</v>
      </c>
      <c r="J153" s="62" t="n">
        <f aca="false">10+LOG10(SIN(RADIANS(D153+E153/60+F153/3600)))</f>
        <v>9.69793996201975</v>
      </c>
      <c r="K153" s="63" t="n">
        <f aca="false">(I153-J153)*10000000000</f>
        <v>-3.19747783805724</v>
      </c>
      <c r="L153" s="64" t="s">
        <v>100</v>
      </c>
      <c r="M153" s="64"/>
      <c r="N153" s="61" t="n">
        <v>3.8975190277</v>
      </c>
      <c r="O153" s="65" t="n">
        <f aca="false">O154+I153-I154</f>
        <v>3.89751902739999</v>
      </c>
      <c r="P153" s="66" t="n">
        <f aca="false">IF(N153="","",(O153-N153)*10000000000)</f>
        <v>-3.00007574338679</v>
      </c>
      <c r="Q153" s="59" t="n">
        <v>0</v>
      </c>
      <c r="R153" s="62" t="n">
        <f aca="false">I153-COS(RADIANS(D153+E153/60+F153/3600))/SIN(RADIANS(D153+E153/60+F153/3600))*RADIANS(Q153/3600)/LN(10)</f>
        <v>9.6979399617</v>
      </c>
      <c r="S153" s="65" t="n">
        <f aca="false">S154+R153-R154</f>
        <v>3.89751829598849</v>
      </c>
      <c r="T153" s="65" t="n">
        <f aca="false">T154+J153-J154</f>
        <v>3.89751710353822</v>
      </c>
      <c r="U153" s="67" t="n">
        <f aca="false">Summary!$C$6*ASIN(10^O153/Summary!$C$6)</f>
        <v>7898.04220995113</v>
      </c>
      <c r="V153" s="68" t="n">
        <v>7898.0422</v>
      </c>
      <c r="W153" s="69" t="n">
        <f aca="false">IF(V153="","",(V153-U153)*Summary!$C$7*1000)</f>
        <v>-0.0193951197857638</v>
      </c>
      <c r="X153" s="70" t="n">
        <f aca="false">U153*Summary!$C$7</f>
        <v>15393.5732683098</v>
      </c>
      <c r="Y153" s="64"/>
    </row>
    <row r="154" customFormat="false" ht="15" hidden="false" customHeight="false" outlineLevel="0" collapsed="false">
      <c r="A154" s="72" t="n">
        <v>50</v>
      </c>
      <c r="B154" s="72" t="s">
        <v>231</v>
      </c>
      <c r="C154" s="72" t="s">
        <v>226</v>
      </c>
      <c r="D154" s="73" t="n">
        <v>114</v>
      </c>
      <c r="E154" s="73" t="n">
        <v>33</v>
      </c>
      <c r="F154" s="74" t="n">
        <v>4</v>
      </c>
      <c r="G154" s="74" t="n">
        <v>0</v>
      </c>
      <c r="H154" s="75" t="n">
        <v>9.9588442207</v>
      </c>
      <c r="I154" s="76" t="n">
        <f aca="false">H154</f>
        <v>9.9588442207</v>
      </c>
      <c r="J154" s="76" t="n">
        <f aca="false">10+LOG10(SIN(RADIANS(D154+E154/60+F154/3600)))</f>
        <v>9.95884614442042</v>
      </c>
      <c r="K154" s="77" t="n">
        <f aca="false">(I154-J154)*10000000000</f>
        <v>-19237.2042384648</v>
      </c>
      <c r="L154" s="78" t="s">
        <v>103</v>
      </c>
      <c r="M154" s="78" t="n">
        <v>49</v>
      </c>
      <c r="N154" s="79"/>
      <c r="O154" s="79" t="n">
        <f aca="false">O149</f>
        <v>4.15842328639999</v>
      </c>
      <c r="P154" s="80"/>
      <c r="Q154" s="73" t="n">
        <v>0</v>
      </c>
      <c r="R154" s="76" t="n">
        <f aca="false">I154-COS(RADIANS(D154+E154/60+F154/3600))/SIN(RADIANS(D154+E154/60+F154/3600))*RADIANS(Q154/3600)/LN(10)</f>
        <v>9.9588442207</v>
      </c>
      <c r="S154" s="79" t="n">
        <f aca="false">S149</f>
        <v>4.15842255498849</v>
      </c>
      <c r="T154" s="79" t="n">
        <f aca="false">T149</f>
        <v>4.1584232859389</v>
      </c>
      <c r="U154" s="81"/>
      <c r="V154" s="81"/>
      <c r="W154" s="82"/>
      <c r="X154" s="83"/>
      <c r="Y154" s="78"/>
    </row>
    <row r="155" customFormat="false" ht="15" hidden="false" customHeight="false" outlineLevel="0" collapsed="false">
      <c r="A155" s="5" t="n">
        <v>51</v>
      </c>
      <c r="B155" s="5" t="s">
        <v>222</v>
      </c>
      <c r="C155" s="5" t="s">
        <v>232</v>
      </c>
      <c r="D155" s="38" t="n">
        <v>57</v>
      </c>
      <c r="E155" s="38" t="n">
        <v>11</v>
      </c>
      <c r="F155" s="30" t="n">
        <v>18</v>
      </c>
      <c r="G155" s="30" t="n">
        <v>0</v>
      </c>
      <c r="H155" s="16" t="n">
        <v>9.9245151277</v>
      </c>
      <c r="I155" s="12" t="n">
        <f aca="false">H155</f>
        <v>9.9245151277</v>
      </c>
      <c r="J155" s="12" t="n">
        <f aca="false">10+LOG10(SIN(RADIANS(D155+E155/60+F155/3600)))</f>
        <v>9.92451512793231</v>
      </c>
      <c r="K155" s="25" t="n">
        <f aca="false">(I155-J155)*10000000000</f>
        <v>-2.32310171099925</v>
      </c>
      <c r="L155" s="39" t="s">
        <v>100</v>
      </c>
      <c r="N155" s="16" t="n">
        <v>4.0053030172</v>
      </c>
      <c r="O155" s="40" t="n">
        <f aca="false">O157+I155-I157</f>
        <v>4.00530306089999</v>
      </c>
      <c r="P155" s="41" t="n">
        <f aca="false">IF(N155="","",(O155-N155)*10000000000)</f>
        <v>436.999920694348</v>
      </c>
      <c r="Q155" s="38" t="n">
        <v>0</v>
      </c>
      <c r="R155" s="12" t="n">
        <f aca="false">I155-COS(RADIANS(D155+E155/60+F155/3600))/SIN(RADIANS(D155+E155/60+F155/3600))*RADIANS(Q155/3600)/LN(10)</f>
        <v>9.9245151277</v>
      </c>
      <c r="S155" s="40" t="n">
        <f aca="false">S157+R155-R157</f>
        <v>4.00530228575994</v>
      </c>
      <c r="T155" s="40" t="n">
        <f aca="false">T157+J155-J157</f>
        <v>4.00530258848025</v>
      </c>
      <c r="U155" s="42" t="n">
        <f aca="false">Summary!$C$6*ASIN(10^O155/Summary!$C$6)</f>
        <v>10122.8722433663</v>
      </c>
      <c r="V155" s="15" t="n">
        <v>10122.8713</v>
      </c>
      <c r="W155" s="43" t="n">
        <f aca="false">IF(V155="","",(V155-U155)*Summary!$C$7*1000)</f>
        <v>-1.83865541996921</v>
      </c>
      <c r="X155" s="44" t="n">
        <f aca="false">U155*Summary!$C$7</f>
        <v>19729.848413277</v>
      </c>
      <c r="Y155" s="26" t="n">
        <f aca="false">(D155+D156+D157-180)*3600+(E155+E156+E157)*60+F155+F156+F157-(G155+G156+G157)</f>
        <v>0</v>
      </c>
    </row>
    <row r="156" customFormat="false" ht="15" hidden="false" customHeight="false" outlineLevel="0" collapsed="false">
      <c r="A156" s="5" t="n">
        <v>51</v>
      </c>
      <c r="B156" s="5" t="s">
        <v>228</v>
      </c>
      <c r="C156" s="5" t="s">
        <v>233</v>
      </c>
      <c r="D156" s="38" t="n">
        <v>30</v>
      </c>
      <c r="E156" s="38" t="n">
        <v>40</v>
      </c>
      <c r="F156" s="30" t="n">
        <v>20</v>
      </c>
      <c r="G156" s="30" t="n">
        <v>0</v>
      </c>
      <c r="H156" s="16" t="n">
        <v>9.7076774504</v>
      </c>
      <c r="I156" s="12" t="n">
        <f aca="false">H156</f>
        <v>9.7076774504</v>
      </c>
      <c r="J156" s="12" t="n">
        <f aca="false">10+LOG10(SIN(RADIANS(D156+E156/60+F156/3600)))</f>
        <v>9.70767745043128</v>
      </c>
      <c r="K156" s="25" t="n">
        <f aca="false">(I156-J156)*10000000000</f>
        <v>-0.312763148713202</v>
      </c>
      <c r="L156" s="39" t="s">
        <v>100</v>
      </c>
      <c r="N156" s="16" t="n">
        <v>3.7884653403</v>
      </c>
      <c r="O156" s="40" t="n">
        <f aca="false">O157+I156-I157</f>
        <v>3.78846538359999</v>
      </c>
      <c r="P156" s="41" t="n">
        <f aca="false">IF(N156="","",(O156-N156)*10000000000)</f>
        <v>432.99992924517</v>
      </c>
      <c r="Q156" s="38" t="n">
        <v>0</v>
      </c>
      <c r="R156" s="12" t="n">
        <f aca="false">I156-COS(RADIANS(D156+E156/60+F156/3600))/SIN(RADIANS(D156+E156/60+F156/3600))*RADIANS(Q156/3600)/LN(10)</f>
        <v>9.7076774504</v>
      </c>
      <c r="S156" s="40" t="n">
        <f aca="false">S157+R156-R157</f>
        <v>3.78846460845994</v>
      </c>
      <c r="T156" s="40" t="n">
        <f aca="false">T157+J156-J157</f>
        <v>3.78846491097922</v>
      </c>
      <c r="U156" s="42" t="n">
        <f aca="false">Summary!$C$6*ASIN(10^O156/Summary!$C$6)</f>
        <v>6144.20418245444</v>
      </c>
      <c r="V156" s="15" t="n">
        <v>6144.2031</v>
      </c>
      <c r="W156" s="43" t="n">
        <f aca="false">IF(V156="","",(V156-U156)*Summary!$C$7*1000)</f>
        <v>-2.10974331161515</v>
      </c>
      <c r="X156" s="44" t="n">
        <f aca="false">U156*Summary!$C$7</f>
        <v>11975.278777176</v>
      </c>
    </row>
    <row r="157" customFormat="false" ht="15" hidden="false" customHeight="false" outlineLevel="0" collapsed="false">
      <c r="A157" s="45" t="n">
        <v>51</v>
      </c>
      <c r="B157" s="45" t="s">
        <v>234</v>
      </c>
      <c r="C157" s="45" t="s">
        <v>227</v>
      </c>
      <c r="D157" s="46" t="n">
        <v>92</v>
      </c>
      <c r="E157" s="46" t="n">
        <v>8</v>
      </c>
      <c r="F157" s="47" t="n">
        <v>22</v>
      </c>
      <c r="G157" s="47" t="n">
        <v>0</v>
      </c>
      <c r="H157" s="48" t="n">
        <v>9.9996966886</v>
      </c>
      <c r="I157" s="49" t="n">
        <f aca="false">H157</f>
        <v>9.9996966886</v>
      </c>
      <c r="J157" s="49" t="n">
        <f aca="false">10+LOG10(SIN(RADIANS(D157+E157/60+F157/3600)))</f>
        <v>9.9996971608444</v>
      </c>
      <c r="K157" s="50" t="n">
        <f aca="false">(I157-J157)*10000000000</f>
        <v>-4722.44394700283</v>
      </c>
      <c r="L157" s="51" t="s">
        <v>103</v>
      </c>
      <c r="M157" s="51" t="n">
        <v>49</v>
      </c>
      <c r="N157" s="52"/>
      <c r="O157" s="52" t="n">
        <f aca="false">O150</f>
        <v>4.08048462179999</v>
      </c>
      <c r="P157" s="53"/>
      <c r="Q157" s="46" t="n">
        <v>0</v>
      </c>
      <c r="R157" s="49" t="n">
        <f aca="false">I157-COS(RADIANS(D157+E157/60+F157/3600))/SIN(RADIANS(D157+E157/60+F157/3600))*RADIANS(Q157/3600)/LN(10)</f>
        <v>9.9996966886</v>
      </c>
      <c r="S157" s="52" t="n">
        <f aca="false">S150</f>
        <v>4.08048384665994</v>
      </c>
      <c r="T157" s="52" t="n">
        <f aca="false">T150</f>
        <v>4.08048462139234</v>
      </c>
      <c r="U157" s="54"/>
      <c r="V157" s="54"/>
      <c r="W157" s="56"/>
      <c r="X157" s="57"/>
      <c r="Y157" s="51"/>
    </row>
    <row r="158" customFormat="false" ht="15" hidden="false" customHeight="false" outlineLevel="0" collapsed="false">
      <c r="A158" s="58" t="n">
        <v>52</v>
      </c>
      <c r="B158" s="58" t="s">
        <v>225</v>
      </c>
      <c r="C158" s="58" t="s">
        <v>235</v>
      </c>
      <c r="D158" s="59" t="n">
        <v>31</v>
      </c>
      <c r="E158" s="59" t="n">
        <v>58</v>
      </c>
      <c r="F158" s="60" t="n">
        <v>53.36</v>
      </c>
      <c r="G158" s="60" t="n">
        <v>0.34</v>
      </c>
      <c r="H158" s="61" t="n">
        <v>9.7239850808</v>
      </c>
      <c r="I158" s="62" t="n">
        <f aca="false">H158</f>
        <v>9.7239850808</v>
      </c>
      <c r="J158" s="62" t="n">
        <f aca="false">10+LOG10(SIN(RADIANS(D158+E158/60+F158/3600)))</f>
        <v>9.72398508122668</v>
      </c>
      <c r="K158" s="63" t="n">
        <f aca="false">(I158-J158)*10000000000</f>
        <v>-4.2668091282394</v>
      </c>
      <c r="L158" s="64" t="s">
        <v>100</v>
      </c>
      <c r="M158" s="64"/>
      <c r="N158" s="61" t="n">
        <v>3.963321343</v>
      </c>
      <c r="O158" s="65" t="n">
        <f aca="false">O160+I158-I160</f>
        <v>3.96332134259999</v>
      </c>
      <c r="P158" s="66" t="n">
        <f aca="false">IF(N158="","",(O158-N158)*10000000000)</f>
        <v>-4.00006694434296</v>
      </c>
      <c r="Q158" s="59" t="n">
        <v>0.05</v>
      </c>
      <c r="R158" s="62" t="n">
        <f aca="false">I158-COS(RADIANS(D158+E158/60+F158/3600))/SIN(RADIANS(D158+E158/60+F158/3600))*RADIANS(Q158/3600)/LN(10)</f>
        <v>9.72398491220207</v>
      </c>
      <c r="S158" s="65" t="n">
        <f aca="false">S160+R158-R160</f>
        <v>3.96332030110817</v>
      </c>
      <c r="T158" s="65" t="n">
        <f aca="false">T160+J158-J160</f>
        <v>3.96332134244414</v>
      </c>
      <c r="U158" s="67" t="n">
        <f aca="false">Summary!$C$6*ASIN(10^O158/Summary!$C$6)</f>
        <v>9190.13551406366</v>
      </c>
      <c r="V158" s="68" t="n">
        <v>9190.1355</v>
      </c>
      <c r="W158" s="69" t="n">
        <f aca="false">IF(V158="","",(V158-U158)*Summary!$C$7*1000)</f>
        <v>-0.0274105813930971</v>
      </c>
      <c r="X158" s="70" t="n">
        <f aca="false">U158*Summary!$C$7</f>
        <v>17911.9103976415</v>
      </c>
      <c r="Y158" s="71" t="n">
        <f aca="false">(D158+D159+D160-180)*3600+(E158+E159+E160)*60+F158+F159+F160-(G158+G159+G160)</f>
        <v>0</v>
      </c>
    </row>
    <row r="159" customFormat="false" ht="15" hidden="false" customHeight="false" outlineLevel="0" collapsed="false">
      <c r="A159" s="58" t="n">
        <v>52</v>
      </c>
      <c r="B159" s="58" t="s">
        <v>228</v>
      </c>
      <c r="C159" s="58" t="s">
        <v>236</v>
      </c>
      <c r="D159" s="59" t="n">
        <v>91</v>
      </c>
      <c r="E159" s="59" t="n">
        <v>55</v>
      </c>
      <c r="F159" s="60" t="n">
        <v>6.18</v>
      </c>
      <c r="G159" s="60" t="n">
        <v>0.67</v>
      </c>
      <c r="H159" s="61" t="n">
        <v>9.9997566805</v>
      </c>
      <c r="I159" s="62" t="n">
        <f aca="false">H159</f>
        <v>9.9997566805</v>
      </c>
      <c r="J159" s="62" t="n">
        <f aca="false">10+LOG10(SIN(RADIANS(D159+E159/60+F159/3600)))</f>
        <v>9.99975652128711</v>
      </c>
      <c r="K159" s="63" t="n">
        <f aca="false">(I159-J159)*10000000000</f>
        <v>1592.12889982996</v>
      </c>
      <c r="L159" s="64" t="s">
        <v>100</v>
      </c>
      <c r="M159" s="64"/>
      <c r="N159" s="61" t="n">
        <v>4.2390929427</v>
      </c>
      <c r="O159" s="65" t="n">
        <f aca="false">O160+I159-I160</f>
        <v>4.23909294229999</v>
      </c>
      <c r="P159" s="66" t="n">
        <f aca="false">IF(N159="","",(O159-N159)*10000000000)</f>
        <v>-4.00006250345086</v>
      </c>
      <c r="Q159" s="59" t="n">
        <v>0.05</v>
      </c>
      <c r="R159" s="62" t="n">
        <f aca="false">I159-COS(RADIANS(D159+E159/60+F159/3600))/SIN(RADIANS(D159+E159/60+F159/3600))*RADIANS(Q159/3600)/LN(10)</f>
        <v>9.99975668402618</v>
      </c>
      <c r="S159" s="65" t="n">
        <f aca="false">S160+R159-R160</f>
        <v>4.23909207293228</v>
      </c>
      <c r="T159" s="65" t="n">
        <f aca="false">T160+J159-J160</f>
        <v>4.23909278250457</v>
      </c>
      <c r="U159" s="67" t="n">
        <f aca="false">Summary!$C$6*ASIN(10^O159/Summary!$C$6)</f>
        <v>17341.8322853192</v>
      </c>
      <c r="V159" s="68" t="n">
        <v>17341.8323</v>
      </c>
      <c r="W159" s="69" t="n">
        <f aca="false">IF(V159="","",(V159-U159)*Summary!$C$7*1000)</f>
        <v>0.0286134264873944</v>
      </c>
      <c r="X159" s="70" t="n">
        <f aca="false">U159*Summary!$C$7</f>
        <v>33799.8656875314</v>
      </c>
      <c r="Y159" s="64"/>
    </row>
    <row r="160" customFormat="false" ht="15" hidden="false" customHeight="false" outlineLevel="0" collapsed="false">
      <c r="A160" s="72" t="n">
        <v>52</v>
      </c>
      <c r="B160" s="72" t="s">
        <v>237</v>
      </c>
      <c r="C160" s="72" t="s">
        <v>226</v>
      </c>
      <c r="D160" s="73" t="n">
        <v>56</v>
      </c>
      <c r="E160" s="73" t="n">
        <v>6</v>
      </c>
      <c r="F160" s="74" t="n">
        <v>1.77</v>
      </c>
      <c r="G160" s="74" t="n">
        <v>0.3</v>
      </c>
      <c r="H160" s="75" t="n">
        <v>9.9190870246</v>
      </c>
      <c r="I160" s="76" t="n">
        <f aca="false">H160</f>
        <v>9.9190870246</v>
      </c>
      <c r="J160" s="76" t="n">
        <f aca="false">10+LOG10(SIN(RADIANS(D160+E160/60+F160/3600)))</f>
        <v>9.91908702472144</v>
      </c>
      <c r="K160" s="77" t="n">
        <f aca="false">(I160-J160)*10000000000</f>
        <v>-1.21438858968759</v>
      </c>
      <c r="L160" s="78" t="s">
        <v>103</v>
      </c>
      <c r="M160" s="78" t="n">
        <v>49</v>
      </c>
      <c r="N160" s="79"/>
      <c r="O160" s="79" t="n">
        <f aca="false">O149</f>
        <v>4.15842328639999</v>
      </c>
      <c r="P160" s="80"/>
      <c r="Q160" s="73" t="n">
        <v>-0.1</v>
      </c>
      <c r="R160" s="76" t="n">
        <f aca="false">I160-COS(RADIANS(D160+E160/60+F160/3600))/SIN(RADIANS(D160+E160/60+F160/3600))*RADIANS(Q160/3600)/LN(10)</f>
        <v>9.91908716608239</v>
      </c>
      <c r="S160" s="79" t="n">
        <f aca="false">S149</f>
        <v>4.15842255498849</v>
      </c>
      <c r="T160" s="79" t="n">
        <f aca="false">T149</f>
        <v>4.1584232859389</v>
      </c>
      <c r="U160" s="81"/>
      <c r="V160" s="81"/>
      <c r="W160" s="82"/>
      <c r="X160" s="83"/>
      <c r="Y160" s="78"/>
    </row>
    <row r="161" customFormat="false" ht="15" hidden="false" customHeight="false" outlineLevel="0" collapsed="false">
      <c r="A161" s="5" t="n">
        <v>53</v>
      </c>
      <c r="B161" s="5" t="s">
        <v>228</v>
      </c>
      <c r="C161" s="5" t="s">
        <v>238</v>
      </c>
      <c r="D161" s="38" t="n">
        <v>31</v>
      </c>
      <c r="E161" s="38" t="n">
        <v>53</v>
      </c>
      <c r="F161" s="30" t="n">
        <v>2.57</v>
      </c>
      <c r="G161" s="30" t="n">
        <v>0.09</v>
      </c>
      <c r="H161" s="16" t="n">
        <v>9.7227999886</v>
      </c>
      <c r="I161" s="12" t="n">
        <f aca="false">H161</f>
        <v>9.7227999886</v>
      </c>
      <c r="J161" s="12" t="n">
        <f aca="false">10+LOG10(SIN(RADIANS(D161+E161/60+F161/3600)))</f>
        <v>9.72279998895066</v>
      </c>
      <c r="K161" s="25" t="n">
        <f aca="false">(I161-J161)*10000000000</f>
        <v>-3.50656392811288</v>
      </c>
      <c r="L161" s="39" t="s">
        <v>100</v>
      </c>
      <c r="N161" s="16" t="n">
        <v>3.6881738298</v>
      </c>
      <c r="O161" s="40" t="n">
        <f aca="false">O163+I161-I163</f>
        <v>3.68817382939999</v>
      </c>
      <c r="P161" s="41" t="n">
        <f aca="false">IF(N161="","",(O161-N161)*10000000000)</f>
        <v>-4.00007138523506</v>
      </c>
      <c r="Q161" s="38" t="n">
        <v>0.05</v>
      </c>
      <c r="R161" s="12" t="n">
        <f aca="false">I161-COS(RADIANS(D161+E161/60+F161/3600))/SIN(RADIANS(D161+E161/60+F161/3600))*RADIANS(Q161/3600)/LN(10)</f>
        <v>9.7227998193621</v>
      </c>
      <c r="S161" s="40" t="n">
        <f aca="false">S163+R161-R163</f>
        <v>3.68817263918329</v>
      </c>
      <c r="T161" s="40" t="n">
        <f aca="false">T163+J161-J163</f>
        <v>3.6881726929104</v>
      </c>
      <c r="U161" s="42" t="n">
        <f aca="false">Summary!$C$6*ASIN(10^O161/Summary!$C$6)</f>
        <v>4877.23847008247</v>
      </c>
      <c r="V161" s="15" t="n">
        <v>4877.2386</v>
      </c>
      <c r="W161" s="43" t="n">
        <f aca="false">IF(V161="","",(V161-U161)*Summary!$C$7*1000)</f>
        <v>0.25321402181877</v>
      </c>
      <c r="X161" s="44" t="n">
        <f aca="false">U161*Summary!$C$7</f>
        <v>9505.91624360265</v>
      </c>
      <c r="Y161" s="26" t="n">
        <f aca="false">(D161+D162+D163-180)*3600+(E161+E162+E163)*60+F161+F162+F163-(G161+G162+G163)</f>
        <v>3.44169137633799E-015</v>
      </c>
    </row>
    <row r="162" customFormat="false" ht="15" hidden="false" customHeight="false" outlineLevel="0" collapsed="false">
      <c r="A162" s="5" t="n">
        <v>53</v>
      </c>
      <c r="B162" s="5" t="s">
        <v>237</v>
      </c>
      <c r="C162" s="5" t="s">
        <v>239</v>
      </c>
      <c r="D162" s="38" t="n">
        <v>52</v>
      </c>
      <c r="E162" s="38" t="n">
        <v>33</v>
      </c>
      <c r="F162" s="30" t="n">
        <v>5.64</v>
      </c>
      <c r="G162" s="30" t="n">
        <v>0.07</v>
      </c>
      <c r="H162" s="16" t="n">
        <v>9.899766299</v>
      </c>
      <c r="I162" s="12" t="n">
        <f aca="false">H162</f>
        <v>9.899766299</v>
      </c>
      <c r="J162" s="12" t="n">
        <f aca="false">10+LOG10(SIN(RADIANS(D162+E162/60+F162/3600)))</f>
        <v>9.89976629927457</v>
      </c>
      <c r="K162" s="25" t="n">
        <f aca="false">(I162-J162)*10000000000</f>
        <v>-2.74569700309257</v>
      </c>
      <c r="L162" s="39" t="s">
        <v>100</v>
      </c>
      <c r="N162" s="16" t="n">
        <v>3.8651401402</v>
      </c>
      <c r="O162" s="40" t="n">
        <f aca="false">O163+I162-I163</f>
        <v>3.86514013979999</v>
      </c>
      <c r="P162" s="41" t="n">
        <f aca="false">IF(N162="","",(O162-N162)*10000000000)</f>
        <v>-4.00007582612716</v>
      </c>
      <c r="Q162" s="38" t="n">
        <v>0.05</v>
      </c>
      <c r="R162" s="12" t="n">
        <f aca="false">I162-COS(RADIANS(D162+E162/60+F162/3600))/SIN(RADIANS(D162+E162/60+F162/3600))*RADIANS(Q162/3600)/LN(10)</f>
        <v>9.89976621836935</v>
      </c>
      <c r="S162" s="40" t="n">
        <f aca="false">S163+R162-R163</f>
        <v>3.86513903819055</v>
      </c>
      <c r="T162" s="40" t="n">
        <f aca="false">T163+J162-J163</f>
        <v>3.86513900323431</v>
      </c>
      <c r="U162" s="42" t="n">
        <f aca="false">Summary!$C$6*ASIN(10^O162/Summary!$C$6)</f>
        <v>7330.61657046299</v>
      </c>
      <c r="V162" s="15" t="n">
        <v>7330.6166</v>
      </c>
      <c r="W162" s="43" t="n">
        <f aca="false">IF(V162="","",(V162-U162)*Summary!$C$7*1000)</f>
        <v>0.05756870630055</v>
      </c>
      <c r="X162" s="44" t="n">
        <f aca="false">U162*Summary!$C$7</f>
        <v>14287.6399339991</v>
      </c>
    </row>
    <row r="163" customFormat="false" ht="15" hidden="false" customHeight="false" outlineLevel="0" collapsed="false">
      <c r="A163" s="45" t="n">
        <v>53</v>
      </c>
      <c r="B163" s="45" t="s">
        <v>240</v>
      </c>
      <c r="C163" s="45" t="s">
        <v>235</v>
      </c>
      <c r="D163" s="46" t="n">
        <v>95</v>
      </c>
      <c r="E163" s="46" t="n">
        <v>33</v>
      </c>
      <c r="F163" s="47" t="n">
        <v>52.13</v>
      </c>
      <c r="G163" s="47" t="n">
        <v>0.18</v>
      </c>
      <c r="H163" s="48" t="n">
        <v>9.9979475018</v>
      </c>
      <c r="I163" s="49" t="n">
        <f aca="false">H163</f>
        <v>9.9979475018</v>
      </c>
      <c r="J163" s="49" t="n">
        <f aca="false">10+LOG10(SIN(RADIANS(D163+E163/60+F163/3600)))</f>
        <v>9.9979486384844</v>
      </c>
      <c r="K163" s="50" t="n">
        <f aca="false">(I163-J163)*10000000000</f>
        <v>-11366.8440349102</v>
      </c>
      <c r="L163" s="51" t="s">
        <v>103</v>
      </c>
      <c r="M163" s="51" t="n">
        <v>52</v>
      </c>
      <c r="N163" s="52"/>
      <c r="O163" s="52" t="n">
        <f aca="false">O158</f>
        <v>3.96332134259999</v>
      </c>
      <c r="P163" s="53"/>
      <c r="Q163" s="46" t="n">
        <v>-0.1</v>
      </c>
      <c r="R163" s="49" t="n">
        <f aca="false">I163-COS(RADIANS(D163+E163/60+F163/3600))/SIN(RADIANS(D163+E163/60+F163/3600))*RADIANS(Q163/3600)/LN(10)</f>
        <v>9.99794748128698</v>
      </c>
      <c r="S163" s="52" t="n">
        <f aca="false">S158</f>
        <v>3.96332030110817</v>
      </c>
      <c r="T163" s="52" t="n">
        <f aca="false">T158</f>
        <v>3.96332134244414</v>
      </c>
      <c r="U163" s="54"/>
      <c r="V163" s="54"/>
      <c r="W163" s="56"/>
      <c r="X163" s="57"/>
      <c r="Y163" s="51"/>
    </row>
    <row r="164" customFormat="false" ht="15" hidden="false" customHeight="false" outlineLevel="0" collapsed="false">
      <c r="A164" s="58" t="n">
        <v>54</v>
      </c>
      <c r="B164" s="58" t="s">
        <v>237</v>
      </c>
      <c r="C164" s="58" t="s">
        <v>241</v>
      </c>
      <c r="D164" s="59" t="n">
        <v>62</v>
      </c>
      <c r="E164" s="59" t="n">
        <v>31</v>
      </c>
      <c r="F164" s="60" t="n">
        <v>30.55</v>
      </c>
      <c r="G164" s="60" t="n">
        <v>0.11</v>
      </c>
      <c r="H164" s="61" t="n">
        <v>9.9480281193</v>
      </c>
      <c r="I164" s="62" t="n">
        <f aca="false">H164</f>
        <v>9.9480281193</v>
      </c>
      <c r="J164" s="62" t="n">
        <f aca="false">10+LOG10(SIN(RADIANS(D164+E164/60+F164/3600)))</f>
        <v>9.94802811935939</v>
      </c>
      <c r="K164" s="63" t="n">
        <f aca="false">(I164-J164)*10000000000</f>
        <v>-0.593871618548292</v>
      </c>
      <c r="L164" s="64" t="s">
        <v>100</v>
      </c>
      <c r="M164" s="64"/>
      <c r="N164" s="61" t="n">
        <v>4.0189722307</v>
      </c>
      <c r="O164" s="65" t="n">
        <f aca="false">O166+I164-I166</f>
        <v>4.01897223029999</v>
      </c>
      <c r="P164" s="66" t="n">
        <f aca="false">IF(N164="","",(O164-N164)*10000000000)</f>
        <v>-4.00008026701926</v>
      </c>
      <c r="Q164" s="59" t="n">
        <v>0.05</v>
      </c>
      <c r="R164" s="62" t="n">
        <f aca="false">I164-COS(RADIANS(D164+E164/60+F164/3600))/SIN(RADIANS(D164+E164/60+F164/3600))*RADIANS(Q164/3600)/LN(10)</f>
        <v>9.94802806455554</v>
      </c>
      <c r="S164" s="65" t="n">
        <f aca="false">S166+R164-R166</f>
        <v>4.0189705226857</v>
      </c>
      <c r="T164" s="65" t="n">
        <f aca="false">T166+J164-J166</f>
        <v>4.01897109319812</v>
      </c>
      <c r="U164" s="67" t="n">
        <f aca="false">Summary!$C$6*ASIN(10^O164/Summary!$C$6)</f>
        <v>10446.5519995029</v>
      </c>
      <c r="V164" s="68" t="n">
        <v>10446.552</v>
      </c>
      <c r="W164" s="69" t="n">
        <f aca="false">IF(V164="","",(V164-U164)*Summary!$C$7*1000)</f>
        <v>0.00096885681843264</v>
      </c>
      <c r="X164" s="70" t="n">
        <f aca="false">U164*Summary!$C$7</f>
        <v>20360.7121019111</v>
      </c>
      <c r="Y164" s="71" t="n">
        <f aca="false">(D164+D165+D166-180)*3600+(E164+E165+E166)*60+F164+F165+F166-(G164+G165+G166)</f>
        <v>0</v>
      </c>
    </row>
    <row r="165" customFormat="false" ht="15" hidden="false" customHeight="false" outlineLevel="0" collapsed="false">
      <c r="A165" s="58" t="n">
        <v>54</v>
      </c>
      <c r="B165" s="58" t="s">
        <v>240</v>
      </c>
      <c r="C165" s="58" t="s">
        <v>242</v>
      </c>
      <c r="D165" s="59" t="n">
        <v>93</v>
      </c>
      <c r="E165" s="59" t="n">
        <v>0</v>
      </c>
      <c r="F165" s="60" t="n">
        <v>17.48</v>
      </c>
      <c r="G165" s="60" t="n">
        <v>0.24</v>
      </c>
      <c r="H165" s="61" t="n">
        <v>9.9994030128</v>
      </c>
      <c r="I165" s="62" t="n">
        <f aca="false">H165</f>
        <v>9.9994030128</v>
      </c>
      <c r="J165" s="62" t="n">
        <f aca="false">10+LOG10(SIN(RADIANS(D165+E165/60+F165/3600)))</f>
        <v>9.99940247588825</v>
      </c>
      <c r="K165" s="63" t="n">
        <f aca="false">(I165-J165)*10000000000</f>
        <v>5369.11754167591</v>
      </c>
      <c r="L165" s="64" t="s">
        <v>100</v>
      </c>
      <c r="M165" s="64"/>
      <c r="N165" s="61" t="n">
        <v>4.0703471242</v>
      </c>
      <c r="O165" s="65" t="n">
        <f aca="false">O166+I165-I166</f>
        <v>4.07034712379999</v>
      </c>
      <c r="P165" s="66" t="n">
        <f aca="false">IF(N165="","",(O165-N165)*10000000000)</f>
        <v>-4.00008026701926</v>
      </c>
      <c r="Q165" s="59" t="n">
        <v>0.05</v>
      </c>
      <c r="R165" s="62" t="n">
        <f aca="false">I165-COS(RADIANS(D165+E165/60+F165/3600))/SIN(RADIANS(D165+E165/60+F165/3600))*RADIANS(Q165/3600)/LN(10)</f>
        <v>9.99940301832623</v>
      </c>
      <c r="S165" s="65" t="n">
        <f aca="false">S166+R165-R166</f>
        <v>4.07034547645639</v>
      </c>
      <c r="T165" s="65" t="n">
        <f aca="false">T166+J165-J166</f>
        <v>4.07034544972698</v>
      </c>
      <c r="U165" s="67" t="n">
        <f aca="false">Summary!$C$6*ASIN(10^O165/Summary!$C$6)</f>
        <v>11758.3954349466</v>
      </c>
      <c r="V165" s="68" t="n">
        <v>11758.3955</v>
      </c>
      <c r="W165" s="69" t="n">
        <f aca="false">IF(V165="","",(V165-U165)*Summary!$C$7*1000)</f>
        <v>0.12679149293852</v>
      </c>
      <c r="X165" s="70" t="n">
        <f aca="false">U165*Summary!$C$7</f>
        <v>22917.5429598939</v>
      </c>
      <c r="Y165" s="64"/>
    </row>
    <row r="166" customFormat="false" ht="15" hidden="false" customHeight="false" outlineLevel="0" collapsed="false">
      <c r="A166" s="72" t="n">
        <v>54</v>
      </c>
      <c r="B166" s="72" t="s">
        <v>243</v>
      </c>
      <c r="C166" s="72" t="s">
        <v>238</v>
      </c>
      <c r="D166" s="73" t="n">
        <v>24</v>
      </c>
      <c r="E166" s="73" t="n">
        <v>28</v>
      </c>
      <c r="F166" s="74" t="n">
        <v>12.45</v>
      </c>
      <c r="G166" s="74" t="n">
        <v>0.13</v>
      </c>
      <c r="H166" s="75" t="n">
        <v>9.6172297184</v>
      </c>
      <c r="I166" s="76" t="n">
        <f aca="false">H166</f>
        <v>9.6172297184</v>
      </c>
      <c r="J166" s="76" t="n">
        <f aca="false">10+LOG10(SIN(RADIANS(D166+E166/60+F166/3600)))</f>
        <v>9.61722971907166</v>
      </c>
      <c r="K166" s="77" t="n">
        <f aca="false">(I166-J166)*10000000000</f>
        <v>-6.71663613616147</v>
      </c>
      <c r="L166" s="78" t="s">
        <v>103</v>
      </c>
      <c r="M166" s="78" t="n">
        <v>53</v>
      </c>
      <c r="N166" s="79"/>
      <c r="O166" s="79" t="n">
        <f aca="false">O161</f>
        <v>3.68817382939999</v>
      </c>
      <c r="P166" s="80"/>
      <c r="Q166" s="73" t="n">
        <v>-0.1</v>
      </c>
      <c r="R166" s="76" t="n">
        <f aca="false">I166-COS(RADIANS(D166+E166/60+F166/3600))/SIN(RADIANS(D166+E166/60+F166/3600))*RADIANS(Q166/3600)/LN(10)</f>
        <v>9.61723018105312</v>
      </c>
      <c r="S166" s="79" t="n">
        <f aca="false">S161</f>
        <v>3.68817263918329</v>
      </c>
      <c r="T166" s="79" t="n">
        <f aca="false">T161</f>
        <v>3.6881726929104</v>
      </c>
      <c r="U166" s="81"/>
      <c r="V166" s="81"/>
      <c r="W166" s="82"/>
      <c r="X166" s="83"/>
      <c r="Y166" s="78"/>
    </row>
    <row r="167" customFormat="false" ht="15" hidden="false" customHeight="false" outlineLevel="0" collapsed="false">
      <c r="A167" s="5" t="n">
        <v>55</v>
      </c>
      <c r="B167" s="5" t="s">
        <v>240</v>
      </c>
      <c r="C167" s="5" t="s">
        <v>244</v>
      </c>
      <c r="D167" s="38" t="n">
        <v>50</v>
      </c>
      <c r="E167" s="38" t="n">
        <v>28</v>
      </c>
      <c r="F167" s="30" t="n">
        <v>6.87</v>
      </c>
      <c r="G167" s="30" t="n">
        <v>0.31</v>
      </c>
      <c r="H167" s="16" t="n">
        <v>9.8872095908</v>
      </c>
      <c r="I167" s="12" t="n">
        <f aca="false">H167</f>
        <v>9.8872095908</v>
      </c>
      <c r="J167" s="12" t="n">
        <f aca="false">10+LOG10(SIN(RADIANS(D167+E167/60+F167/3600)))</f>
        <v>9.88720959098882</v>
      </c>
      <c r="K167" s="25" t="n">
        <f aca="false">(I167-J167)*10000000000</f>
        <v>-1.8881785024405</v>
      </c>
      <c r="L167" s="39" t="s">
        <v>100</v>
      </c>
      <c r="N167" s="16" t="n">
        <v>4.0811274685</v>
      </c>
      <c r="O167" s="40" t="n">
        <f aca="false">O169+I167-I169</f>
        <v>4.08112746809999</v>
      </c>
      <c r="P167" s="41" t="n">
        <f aca="false">IF(N167="","",(O167-N167)*10000000000)</f>
        <v>-4.00008914880345</v>
      </c>
      <c r="Q167" s="38" t="n">
        <v>0.05</v>
      </c>
      <c r="R167" s="12" t="n">
        <f aca="false">I167-COS(RADIANS(D167+E167/60+F167/3600))/SIN(RADIANS(D167+E167/60+F167/3600))*RADIANS(Q167/3600)/LN(10)</f>
        <v>9.88720950392018</v>
      </c>
      <c r="S167" s="40" t="n">
        <f aca="false">S169+R167-R169</f>
        <v>4.08112543931914</v>
      </c>
      <c r="T167" s="40" t="n">
        <f aca="false">T169+J167-J169</f>
        <v>4.08112633100774</v>
      </c>
      <c r="U167" s="42" t="n">
        <f aca="false">Summary!$C$6*ASIN(10^O167/Summary!$C$6)</f>
        <v>12053.9241259086</v>
      </c>
      <c r="V167" s="15" t="n">
        <v>12053.9075</v>
      </c>
      <c r="W167" s="43" t="n">
        <f aca="false">IF(V167="","",(V167-U167)*Summary!$C$7*1000)</f>
        <v>-32.4045042316041</v>
      </c>
      <c r="X167" s="44" t="n">
        <f aca="false">U167*Summary!$C$7</f>
        <v>23493.5391924133</v>
      </c>
      <c r="Y167" s="26" t="n">
        <f aca="false">(D167+D168+D169-180)*3600+(E167+E168+E169)*60+F167+F168+F169-(G167+G168+G169)</f>
        <v>0</v>
      </c>
    </row>
    <row r="168" customFormat="false" ht="15" hidden="false" customHeight="false" outlineLevel="0" collapsed="false">
      <c r="A168" s="5" t="n">
        <v>55</v>
      </c>
      <c r="B168" s="5" t="s">
        <v>243</v>
      </c>
      <c r="C168" s="5" t="s">
        <v>245</v>
      </c>
      <c r="D168" s="38" t="n">
        <v>87</v>
      </c>
      <c r="E168" s="38" t="n">
        <v>35</v>
      </c>
      <c r="F168" s="30" t="n">
        <v>9.39</v>
      </c>
      <c r="G168" s="30" t="n">
        <v>0.58</v>
      </c>
      <c r="H168" s="16" t="n">
        <v>9.9996144034</v>
      </c>
      <c r="I168" s="12" t="n">
        <f aca="false">H168</f>
        <v>9.9996144034</v>
      </c>
      <c r="J168" s="12" t="n">
        <f aca="false">10+LOG10(SIN(RADIANS(D168+E168/60+F168/3600)))</f>
        <v>9.99961440347875</v>
      </c>
      <c r="K168" s="25" t="n">
        <f aca="false">(I168-J168)*10000000000</f>
        <v>-0.787441223337737</v>
      </c>
      <c r="L168" s="39" t="s">
        <v>100</v>
      </c>
      <c r="N168" s="16" t="n">
        <v>4.1935322811</v>
      </c>
      <c r="O168" s="40" t="n">
        <f aca="false">O169+I168-I169</f>
        <v>4.19353228069999</v>
      </c>
      <c r="P168" s="41" t="n">
        <f aca="false">IF(N168="","",(O168-N168)*10000000000)</f>
        <v>-4.00008026701926</v>
      </c>
      <c r="Q168" s="38" t="n">
        <v>0.05</v>
      </c>
      <c r="R168" s="12" t="n">
        <f aca="false">I168-COS(RADIANS(D168+E168/60+F168/3600))/SIN(RADIANS(D168+E168/60+F168/3600))*RADIANS(Q168/3600)/LN(10)</f>
        <v>9.99961439896175</v>
      </c>
      <c r="S168" s="40" t="n">
        <f aca="false">S169+R168-R169</f>
        <v>4.19353033436071</v>
      </c>
      <c r="T168" s="40" t="n">
        <f aca="false">T169+J168-J169</f>
        <v>4.19353114349767</v>
      </c>
      <c r="U168" s="42" t="n">
        <f aca="false">Summary!$C$6*ASIN(10^O168/Summary!$C$6)</f>
        <v>15614.7104086652</v>
      </c>
      <c r="V168" s="15" t="n">
        <v>15614.7105</v>
      </c>
      <c r="W168" s="43" t="n">
        <f aca="false">IF(V168="","",(V168-U168)*Summary!$C$7*1000)</f>
        <v>0.178014901628897</v>
      </c>
      <c r="X168" s="44" t="n">
        <f aca="false">U168*Summary!$C$7</f>
        <v>30433.6419519737</v>
      </c>
    </row>
    <row r="169" customFormat="false" ht="15" hidden="false" customHeight="false" outlineLevel="0" collapsed="false">
      <c r="A169" s="45" t="n">
        <v>55</v>
      </c>
      <c r="B169" s="45" t="s">
        <v>246</v>
      </c>
      <c r="C169" s="45" t="s">
        <v>241</v>
      </c>
      <c r="D169" s="46" t="n">
        <v>41</v>
      </c>
      <c r="E169" s="46" t="n">
        <v>56</v>
      </c>
      <c r="F169" s="47" t="n">
        <v>44.95</v>
      </c>
      <c r="G169" s="47" t="n">
        <v>0.32</v>
      </c>
      <c r="H169" s="48" t="n">
        <v>9.825054353</v>
      </c>
      <c r="I169" s="49" t="n">
        <f aca="false">H169</f>
        <v>9.825054353</v>
      </c>
      <c r="J169" s="49" t="n">
        <f aca="false">10+LOG10(SIN(RADIANS(D169+E169/60+F169/3600)))</f>
        <v>9.82505435317919</v>
      </c>
      <c r="K169" s="50" t="n">
        <f aca="false">(I169-J169)*10000000000</f>
        <v>-1.79193548888179</v>
      </c>
      <c r="L169" s="51" t="s">
        <v>103</v>
      </c>
      <c r="M169" s="51" t="n">
        <v>54</v>
      </c>
      <c r="N169" s="52"/>
      <c r="O169" s="52" t="n">
        <f aca="false">O164</f>
        <v>4.01897223029999</v>
      </c>
      <c r="P169" s="53"/>
      <c r="Q169" s="46" t="n">
        <v>-0.1</v>
      </c>
      <c r="R169" s="49" t="n">
        <f aca="false">I169-COS(RADIANS(D169+E169/60+F169/3600))/SIN(RADIANS(D169+E169/60+F169/3600))*RADIANS(Q169/3600)/LN(10)</f>
        <v>9.82505458728674</v>
      </c>
      <c r="S169" s="52" t="n">
        <f aca="false">S164</f>
        <v>4.0189705226857</v>
      </c>
      <c r="T169" s="52" t="n">
        <f aca="false">T164</f>
        <v>4.01897109319812</v>
      </c>
      <c r="U169" s="54"/>
      <c r="V169" s="54"/>
      <c r="W169" s="56"/>
      <c r="X169" s="57"/>
      <c r="Y169" s="51"/>
    </row>
    <row r="170" customFormat="false" ht="15" hidden="false" customHeight="false" outlineLevel="0" collapsed="false">
      <c r="A170" s="58" t="n">
        <v>56</v>
      </c>
      <c r="B170" s="58" t="s">
        <v>243</v>
      </c>
      <c r="C170" s="58" t="s">
        <v>247</v>
      </c>
      <c r="D170" s="59" t="n">
        <v>73</v>
      </c>
      <c r="E170" s="59" t="n">
        <v>48</v>
      </c>
      <c r="F170" s="60" t="n">
        <v>14.19</v>
      </c>
      <c r="G170" s="60" t="n">
        <v>0.6</v>
      </c>
      <c r="H170" s="61" t="n">
        <v>9.9824127522</v>
      </c>
      <c r="I170" s="62" t="n">
        <f aca="false">H170</f>
        <v>9.9824127522</v>
      </c>
      <c r="J170" s="62" t="n">
        <f aca="false">10+LOG10(SIN(RADIANS(D170+E170/60+F170/3600)))</f>
        <v>9.98241275225778</v>
      </c>
      <c r="K170" s="63" t="n">
        <f aca="false">(I170-J170)*10000000000</f>
        <v>-0.577813352720114</v>
      </c>
      <c r="L170" s="64" t="s">
        <v>100</v>
      </c>
      <c r="M170" s="64"/>
      <c r="N170" s="61" t="n">
        <v>4.1942537675</v>
      </c>
      <c r="O170" s="65" t="n">
        <f aca="false">O172+I170-I172</f>
        <v>4.19425376709999</v>
      </c>
      <c r="P170" s="66" t="n">
        <f aca="false">IF(N170="","",(O170-N170)*10000000000)</f>
        <v>-4.00009803058765</v>
      </c>
      <c r="Q170" s="59" t="n">
        <v>0.05</v>
      </c>
      <c r="R170" s="62" t="n">
        <f aca="false">I170-COS(RADIANS(D170+E170/60+F170/3600))/SIN(RADIANS(D170+E170/60+F170/3600))*RADIANS(Q170/3600)/LN(10)</f>
        <v>9.98241272162236</v>
      </c>
      <c r="S170" s="65" t="n">
        <f aca="false">S172+R170-R172</f>
        <v>4.19425151641825</v>
      </c>
      <c r="T170" s="65" t="n">
        <f aca="false">T172+J170-J172</f>
        <v>4.19425262990947</v>
      </c>
      <c r="U170" s="67" t="n">
        <f aca="false">Summary!$C$6*ASIN(10^O170/Summary!$C$6)</f>
        <v>15640.6726319291</v>
      </c>
      <c r="V170" s="68" t="n">
        <v>15640.6727</v>
      </c>
      <c r="W170" s="69" t="n">
        <f aca="false">IF(V170="","",(V170-U170)*Summary!$C$7*1000)</f>
        <v>0.13267263580547</v>
      </c>
      <c r="X170" s="70" t="n">
        <f aca="false">U170*Summary!$C$7</f>
        <v>30484.2432751115</v>
      </c>
      <c r="Y170" s="71" t="n">
        <f aca="false">(D170+D171+D172-180)*3600+(E170+E171+E172)*60+F170+F171+F172-(G170+G171+G172)</f>
        <v>0</v>
      </c>
    </row>
    <row r="171" customFormat="false" ht="15" hidden="false" customHeight="false" outlineLevel="0" collapsed="false">
      <c r="A171" s="58" t="n">
        <v>56</v>
      </c>
      <c r="B171" s="58" t="s">
        <v>246</v>
      </c>
      <c r="C171" s="58" t="s">
        <v>248</v>
      </c>
      <c r="D171" s="59" t="n">
        <v>58</v>
      </c>
      <c r="E171" s="59" t="n">
        <v>27</v>
      </c>
      <c r="F171" s="60" t="n">
        <v>25.66</v>
      </c>
      <c r="G171" s="60" t="n">
        <v>0.49</v>
      </c>
      <c r="H171" s="61" t="n">
        <v>9.9305664798</v>
      </c>
      <c r="I171" s="62" t="n">
        <f aca="false">H171</f>
        <v>9.9305664798</v>
      </c>
      <c r="J171" s="62" t="n">
        <f aca="false">10+LOG10(SIN(RADIANS(D171+E171/60+F171/3600)))</f>
        <v>9.93056648001802</v>
      </c>
      <c r="K171" s="63" t="n">
        <f aca="false">(I171-J171)*10000000000</f>
        <v>-2.18017603970111</v>
      </c>
      <c r="L171" s="64" t="s">
        <v>100</v>
      </c>
      <c r="M171" s="64"/>
      <c r="N171" s="61" t="n">
        <v>4.1424074952</v>
      </c>
      <c r="O171" s="65" t="n">
        <f aca="false">O172+I171-I172</f>
        <v>4.14240749469999</v>
      </c>
      <c r="P171" s="66" t="n">
        <f aca="false">IF(N171="","",(O171-N171)*10000000000)</f>
        <v>-5.00009811332802</v>
      </c>
      <c r="Q171" s="59" t="n">
        <v>0.05</v>
      </c>
      <c r="R171" s="62" t="n">
        <f aca="false">I171-COS(RADIANS(D171+E171/60+F171/3600))/SIN(RADIANS(D171+E171/60+F171/3600))*RADIANS(Q171/3600)/LN(10)</f>
        <v>9.93056641517841</v>
      </c>
      <c r="S171" s="65" t="n">
        <f aca="false">S172+R171-R172</f>
        <v>4.14240520997429</v>
      </c>
      <c r="T171" s="65" t="n">
        <f aca="false">T172+J171-J172</f>
        <v>4.14240635766971</v>
      </c>
      <c r="U171" s="67" t="n">
        <f aca="false">Summary!$C$6*ASIN(10^O171/Summary!$C$6)</f>
        <v>13880.6179646717</v>
      </c>
      <c r="V171" s="68" t="n">
        <v>13880.6212</v>
      </c>
      <c r="W171" s="69" t="n">
        <f aca="false">IF(V171="","",(V171-U171)*Summary!$C$7*1000)</f>
        <v>6.30577332456333</v>
      </c>
      <c r="X171" s="70" t="n">
        <f aca="false">U171*Summary!$C$7</f>
        <v>27053.8323256078</v>
      </c>
      <c r="Y171" s="64"/>
    </row>
    <row r="172" customFormat="false" ht="15" hidden="false" customHeight="false" outlineLevel="0" collapsed="false">
      <c r="A172" s="72" t="n">
        <v>56</v>
      </c>
      <c r="B172" s="72" t="s">
        <v>249</v>
      </c>
      <c r="C172" s="72" t="s">
        <v>244</v>
      </c>
      <c r="D172" s="73" t="n">
        <v>47</v>
      </c>
      <c r="E172" s="73" t="n">
        <v>44</v>
      </c>
      <c r="F172" s="74" t="n">
        <v>21.7</v>
      </c>
      <c r="G172" s="74" t="n">
        <v>0.46</v>
      </c>
      <c r="H172" s="75" t="n">
        <v>9.8692864532</v>
      </c>
      <c r="I172" s="76" t="n">
        <f aca="false">H172</f>
        <v>9.8692864532</v>
      </c>
      <c r="J172" s="76" t="n">
        <f aca="false">10+LOG10(SIN(RADIANS(D172+E172/60+F172/3600)))</f>
        <v>9.86928645335605</v>
      </c>
      <c r="K172" s="77" t="n">
        <f aca="false">(I172-J172)*10000000000</f>
        <v>-1.56047619270794</v>
      </c>
      <c r="L172" s="78" t="s">
        <v>103</v>
      </c>
      <c r="M172" s="78" t="n">
        <v>55</v>
      </c>
      <c r="N172" s="79"/>
      <c r="O172" s="79" t="n">
        <f aca="false">O167</f>
        <v>4.08112746809999</v>
      </c>
      <c r="P172" s="80"/>
      <c r="Q172" s="73" t="n">
        <v>-0.1</v>
      </c>
      <c r="R172" s="76" t="n">
        <f aca="false">I172-COS(RADIANS(D172+E172/60+F172/3600))/SIN(RADIANS(D172+E172/60+F172/3600))*RADIANS(Q172/3600)/LN(10)</f>
        <v>9.86928664452325</v>
      </c>
      <c r="S172" s="79" t="n">
        <f aca="false">S167</f>
        <v>4.08112543931914</v>
      </c>
      <c r="T172" s="79" t="n">
        <f aca="false">T167</f>
        <v>4.08112633100774</v>
      </c>
      <c r="U172" s="81"/>
      <c r="V172" s="81"/>
      <c r="W172" s="82"/>
      <c r="X172" s="83"/>
      <c r="Y172" s="78"/>
    </row>
    <row r="173" customFormat="false" ht="15" hidden="false" customHeight="false" outlineLevel="0" collapsed="false">
      <c r="A173" s="5" t="n">
        <v>57</v>
      </c>
      <c r="B173" s="5" t="s">
        <v>246</v>
      </c>
      <c r="C173" s="5" t="s">
        <v>250</v>
      </c>
      <c r="D173" s="38" t="n">
        <v>22</v>
      </c>
      <c r="E173" s="38" t="n">
        <v>7</v>
      </c>
      <c r="F173" s="30" t="n">
        <v>35.1</v>
      </c>
      <c r="G173" s="30" t="n">
        <v>0.24</v>
      </c>
      <c r="H173" s="16" t="n">
        <v>9.5759395925</v>
      </c>
      <c r="I173" s="12" t="n">
        <f aca="false">H173</f>
        <v>9.5759395925</v>
      </c>
      <c r="J173" s="12" t="n">
        <f aca="false">10+LOG10(SIN(RADIANS(D173+E173/60+F173/3600)))</f>
        <v>9.57593959340671</v>
      </c>
      <c r="K173" s="25" t="n">
        <f aca="false">(I173-J173)*10000000000</f>
        <v>-9.06712926962427</v>
      </c>
      <c r="L173" s="39" t="s">
        <v>100</v>
      </c>
      <c r="N173" s="16" t="n">
        <v>3.7965786405</v>
      </c>
      <c r="O173" s="40" t="n">
        <f aca="false">O175+I173-I175</f>
        <v>3.79657864009999</v>
      </c>
      <c r="P173" s="41" t="n">
        <f aca="false">IF(N173="","",(O173-N173)*10000000000)</f>
        <v>-4.00010691237185</v>
      </c>
      <c r="Q173" s="38" t="n">
        <v>0.05</v>
      </c>
      <c r="R173" s="12" t="n">
        <f aca="false">I173-COS(RADIANS(D173+E173/60+F173/3600))/SIN(RADIANS(D173+E173/60+F173/3600))*RADIANS(Q173/3600)/LN(10)</f>
        <v>9.57593933357912</v>
      </c>
      <c r="S173" s="40" t="n">
        <f aca="false">S175+R173-R175</f>
        <v>3.79657605481598</v>
      </c>
      <c r="T173" s="40" t="n">
        <f aca="false">T175+J173-J175</f>
        <v>3.7965775035668</v>
      </c>
      <c r="U173" s="42" t="n">
        <f aca="false">Summary!$C$6*ASIN(10^O173/Summary!$C$6)</f>
        <v>6260.06591136737</v>
      </c>
      <c r="V173" s="15" t="n">
        <v>6260.0659</v>
      </c>
      <c r="W173" s="43" t="n">
        <f aca="false">IF(V173="","",(V173-U173)*Summary!$C$7*1000)</f>
        <v>-0.0221554192064311</v>
      </c>
      <c r="X173" s="44" t="n">
        <f aca="false">U173*Summary!$C$7</f>
        <v>12201.0975263804</v>
      </c>
      <c r="Y173" s="26" t="n">
        <f aca="false">(D173+D174+D175-180)*3600+(E173+E174+E175)*60+F173+F174+F175-(G173+G174+G175)</f>
        <v>-9.32587340685132E-015</v>
      </c>
    </row>
    <row r="174" customFormat="false" ht="15" hidden="false" customHeight="false" outlineLevel="0" collapsed="false">
      <c r="A174" s="5" t="n">
        <v>57</v>
      </c>
      <c r="B174" s="5" t="s">
        <v>249</v>
      </c>
      <c r="C174" s="5" t="s">
        <v>251</v>
      </c>
      <c r="D174" s="38" t="n">
        <v>87</v>
      </c>
      <c r="E174" s="38" t="n">
        <v>38</v>
      </c>
      <c r="F174" s="30" t="n">
        <v>40.05</v>
      </c>
      <c r="G174" s="30" t="n">
        <v>0.44</v>
      </c>
      <c r="H174" s="16" t="n">
        <v>9.9996328757</v>
      </c>
      <c r="I174" s="12" t="n">
        <f aca="false">H174</f>
        <v>9.9996328757</v>
      </c>
      <c r="J174" s="12" t="n">
        <f aca="false">10+LOG10(SIN(RADIANS(D174+E174/60+F174/3600)))</f>
        <v>9.9996328758022</v>
      </c>
      <c r="K174" s="25" t="n">
        <f aca="false">(I174-J174)*10000000000</f>
        <v>-1.02195585327536</v>
      </c>
      <c r="L174" s="39" t="s">
        <v>100</v>
      </c>
      <c r="N174" s="16" t="n">
        <v>4.2202719237</v>
      </c>
      <c r="O174" s="40" t="n">
        <f aca="false">O175+I174-I175</f>
        <v>4.22027192329999</v>
      </c>
      <c r="P174" s="41" t="n">
        <f aca="false">IF(N174="","",(O174-N174)*10000000000)</f>
        <v>-4.00010691237185</v>
      </c>
      <c r="Q174" s="38" t="n">
        <v>0.05</v>
      </c>
      <c r="R174" s="12" t="n">
        <f aca="false">I174-COS(RADIANS(D174+E174/60+F174/3600))/SIN(RADIANS(D174+E174/60+F174/3600))*RADIANS(Q174/3600)/LN(10)</f>
        <v>9.99963287136946</v>
      </c>
      <c r="S174" s="40" t="n">
        <f aca="false">S175+R174-R175</f>
        <v>4.22026959260632</v>
      </c>
      <c r="T174" s="40" t="n">
        <f aca="false">T175+J174-J175</f>
        <v>4.22027078596228</v>
      </c>
      <c r="U174" s="42" t="n">
        <f aca="false">Summary!$C$6*ASIN(10^O174/Summary!$C$6)</f>
        <v>16606.3349526732</v>
      </c>
      <c r="V174" s="15" t="n">
        <v>16606.335</v>
      </c>
      <c r="W174" s="43" t="n">
        <f aca="false">IF(V174="","",(V174-U174)*Summary!$C$7*1000)</f>
        <v>0.0922416739888564</v>
      </c>
      <c r="X174" s="44" t="n">
        <f aca="false">U174*Summary!$C$7</f>
        <v>32366.3544732627</v>
      </c>
    </row>
    <row r="175" customFormat="false" ht="15" hidden="false" customHeight="false" outlineLevel="0" collapsed="false">
      <c r="A175" s="45" t="n">
        <v>57</v>
      </c>
      <c r="B175" s="45" t="s">
        <v>252</v>
      </c>
      <c r="C175" s="45" t="s">
        <v>247</v>
      </c>
      <c r="D175" s="46" t="n">
        <v>70</v>
      </c>
      <c r="E175" s="46" t="n">
        <v>13</v>
      </c>
      <c r="F175" s="47" t="n">
        <v>45.79</v>
      </c>
      <c r="G175" s="47" t="n">
        <v>0.26</v>
      </c>
      <c r="H175" s="48" t="n">
        <v>9.9736147195</v>
      </c>
      <c r="I175" s="49" t="n">
        <f aca="false">H175</f>
        <v>9.9736147195</v>
      </c>
      <c r="J175" s="49" t="n">
        <f aca="false">10+LOG10(SIN(RADIANS(D175+E175/60+F175/3600)))</f>
        <v>9.97361471974939</v>
      </c>
      <c r="K175" s="50" t="n">
        <f aca="false">(I175-J175)*10000000000</f>
        <v>-2.49389842110759</v>
      </c>
      <c r="L175" s="51" t="s">
        <v>103</v>
      </c>
      <c r="M175" s="51" t="n">
        <v>56</v>
      </c>
      <c r="N175" s="52"/>
      <c r="O175" s="52" t="n">
        <f aca="false">O170</f>
        <v>4.19425376709999</v>
      </c>
      <c r="P175" s="53"/>
      <c r="Q175" s="46" t="n">
        <v>-0.1</v>
      </c>
      <c r="R175" s="49" t="n">
        <f aca="false">I175-COS(RADIANS(D175+E175/60+F175/3600))/SIN(RADIANS(D175+E175/60+F175/3600))*RADIANS(Q175/3600)/LN(10)</f>
        <v>9.97361479518139</v>
      </c>
      <c r="S175" s="52" t="n">
        <f aca="false">S170</f>
        <v>4.19425151641825</v>
      </c>
      <c r="T175" s="52" t="n">
        <f aca="false">T170</f>
        <v>4.19425262990947</v>
      </c>
      <c r="U175" s="54"/>
      <c r="V175" s="54"/>
      <c r="W175" s="56"/>
      <c r="X175" s="57"/>
      <c r="Y175" s="51"/>
    </row>
    <row r="176" customFormat="false" ht="15" hidden="false" customHeight="false" outlineLevel="0" collapsed="false">
      <c r="A176" s="58" t="n">
        <v>58</v>
      </c>
      <c r="B176" s="58" t="s">
        <v>249</v>
      </c>
      <c r="C176" s="58" t="s">
        <v>253</v>
      </c>
      <c r="D176" s="59" t="n">
        <v>94</v>
      </c>
      <c r="E176" s="59" t="n">
        <v>40</v>
      </c>
      <c r="F176" s="60" t="n">
        <v>24.06</v>
      </c>
      <c r="G176" s="60" t="n">
        <v>0.39</v>
      </c>
      <c r="H176" s="61" t="n">
        <v>9.9985537351</v>
      </c>
      <c r="I176" s="62" t="n">
        <f aca="false">H176</f>
        <v>9.9985537351</v>
      </c>
      <c r="J176" s="62" t="n">
        <f aca="false">10+LOG10(SIN(RADIANS(D176+E176/60+F176/3600)))</f>
        <v>9.99855373522743</v>
      </c>
      <c r="K176" s="63" t="n">
        <f aca="false">(I176-J176)*10000000000</f>
        <v>-1.27426957874377</v>
      </c>
      <c r="L176" s="64" t="s">
        <v>100</v>
      </c>
      <c r="M176" s="64"/>
      <c r="N176" s="61" t="n">
        <v>4.1379488174</v>
      </c>
      <c r="O176" s="65" t="n">
        <f aca="false">O178+I176-I178</f>
        <v>4.13794881699999</v>
      </c>
      <c r="P176" s="66" t="n">
        <f aca="false">IF(N176="","",(O176-N176)*10000000000)</f>
        <v>-4.00010691237185</v>
      </c>
      <c r="Q176" s="59" t="n">
        <v>0.05</v>
      </c>
      <c r="R176" s="62" t="n">
        <f aca="false">I176-COS(RADIANS(D176+E176/60+F176/3600))/SIN(RADIANS(D176+E176/60+F176/3600))*RADIANS(Q176/3600)/LN(10)</f>
        <v>9.99855374370596</v>
      </c>
      <c r="S176" s="65" t="n">
        <f aca="false">S178+R176-R178</f>
        <v>4.13794582725449</v>
      </c>
      <c r="T176" s="65" t="n">
        <f aca="false">T178+J176-J178</f>
        <v>4.13794768017186</v>
      </c>
      <c r="U176" s="67" t="n">
        <f aca="false">Summary!$C$6*ASIN(10^O176/Summary!$C$6)</f>
        <v>13738.8409877038</v>
      </c>
      <c r="V176" s="68" t="n">
        <v>13738.841</v>
      </c>
      <c r="W176" s="69" t="n">
        <f aca="false">IF(V176="","",(V176-U176)*Summary!$C$7*1000)</f>
        <v>0.0239657740883263</v>
      </c>
      <c r="X176" s="70" t="n">
        <f aca="false">U176*Summary!$C$7</f>
        <v>26777.5038096669</v>
      </c>
      <c r="Y176" s="71" t="n">
        <f aca="false">(D176+D177+D178-180)*3600+(E176+E177+E178)*60+F176+F177+F178-(G176+G177+G178)</f>
        <v>0</v>
      </c>
    </row>
    <row r="177" customFormat="false" ht="15" hidden="false" customHeight="false" outlineLevel="0" collapsed="false">
      <c r="A177" s="58" t="n">
        <v>58</v>
      </c>
      <c r="B177" s="58" t="s">
        <v>252</v>
      </c>
      <c r="C177" s="58" t="s">
        <v>254</v>
      </c>
      <c r="D177" s="59" t="n">
        <v>58</v>
      </c>
      <c r="E177" s="59" t="n">
        <v>19</v>
      </c>
      <c r="F177" s="60" t="n">
        <v>3.54</v>
      </c>
      <c r="G177" s="60" t="n">
        <v>0.15</v>
      </c>
      <c r="H177" s="61" t="n">
        <v>9.9299157505</v>
      </c>
      <c r="I177" s="62" t="n">
        <f aca="false">H177</f>
        <v>9.9299157505</v>
      </c>
      <c r="J177" s="62" t="n">
        <f aca="false">10+LOG10(SIN(RADIANS(D177+E177/60+F177/3600)))</f>
        <v>9.92991575068698</v>
      </c>
      <c r="K177" s="63" t="n">
        <f aca="false">(I177-J177)*10000000000</f>
        <v>-1.86975768201592</v>
      </c>
      <c r="L177" s="64" t="s">
        <v>100</v>
      </c>
      <c r="M177" s="64"/>
      <c r="N177" s="61" t="n">
        <v>4.0693108328</v>
      </c>
      <c r="O177" s="65" t="n">
        <f aca="false">O178+I177-I178</f>
        <v>4.06931083239999</v>
      </c>
      <c r="P177" s="66" t="n">
        <f aca="false">IF(N177="","",(O177-N177)*10000000000)</f>
        <v>-4.00011579415605</v>
      </c>
      <c r="Q177" s="59" t="n">
        <v>0.05</v>
      </c>
      <c r="R177" s="62" t="n">
        <f aca="false">I177-COS(RADIANS(D177+E177/60+F177/3600))/SIN(RADIANS(D177+E177/60+F177/3600))*RADIANS(Q177/3600)/LN(10)</f>
        <v>9.92991568552504</v>
      </c>
      <c r="S177" s="65" t="n">
        <f aca="false">S178+R177-R178</f>
        <v>4.06930776907357</v>
      </c>
      <c r="T177" s="65" t="n">
        <f aca="false">T178+J177-J178</f>
        <v>4.06930969563141</v>
      </c>
      <c r="U177" s="67" t="n">
        <f aca="false">Summary!$C$6*ASIN(10^O177/Summary!$C$6)</f>
        <v>11730.3714771642</v>
      </c>
      <c r="V177" s="68" t="n">
        <v>11730.3715</v>
      </c>
      <c r="W177" s="69" t="n">
        <f aca="false">IF(V177="","",(V177-U177)*Summary!$C$7*1000)</f>
        <v>0.0445077572733867</v>
      </c>
      <c r="X177" s="70" t="n">
        <f aca="false">U177*Summary!$C$7</f>
        <v>22862.9232407377</v>
      </c>
      <c r="Y177" s="64"/>
    </row>
    <row r="178" customFormat="false" ht="15" hidden="false" customHeight="false" outlineLevel="0" collapsed="false">
      <c r="A178" s="72" t="n">
        <v>58</v>
      </c>
      <c r="B178" s="72" t="s">
        <v>255</v>
      </c>
      <c r="C178" s="72" t="s">
        <v>250</v>
      </c>
      <c r="D178" s="73" t="n">
        <v>27</v>
      </c>
      <c r="E178" s="73" t="n">
        <v>0</v>
      </c>
      <c r="F178" s="74" t="n">
        <v>33.11</v>
      </c>
      <c r="G178" s="74" t="n">
        <v>0.17</v>
      </c>
      <c r="H178" s="75" t="n">
        <v>9.6571835582</v>
      </c>
      <c r="I178" s="76" t="n">
        <f aca="false">H178</f>
        <v>9.6571835582</v>
      </c>
      <c r="J178" s="76" t="n">
        <f aca="false">10+LOG10(SIN(RADIANS(D178+E178/60+F178/3600)))</f>
        <v>9.65718355862236</v>
      </c>
      <c r="K178" s="77" t="n">
        <f aca="false">(I178-J178)*10000000000</f>
        <v>-4.22364365704198</v>
      </c>
      <c r="L178" s="78" t="s">
        <v>103</v>
      </c>
      <c r="M178" s="78" t="n">
        <v>57</v>
      </c>
      <c r="N178" s="79"/>
      <c r="O178" s="79" t="n">
        <f aca="false">O173</f>
        <v>3.79657864009999</v>
      </c>
      <c r="P178" s="80"/>
      <c r="Q178" s="73" t="n">
        <v>-0.1</v>
      </c>
      <c r="R178" s="76" t="n">
        <f aca="false">I178-COS(RADIANS(D178+E178/60+F178/3600))/SIN(RADIANS(D178+E178/60+F178/3600))*RADIANS(Q178/3600)/LN(10)</f>
        <v>9.65718397126745</v>
      </c>
      <c r="S178" s="79" t="n">
        <f aca="false">S173</f>
        <v>3.79657605481598</v>
      </c>
      <c r="T178" s="79" t="n">
        <f aca="false">T173</f>
        <v>3.7965775035668</v>
      </c>
      <c r="U178" s="81"/>
      <c r="V178" s="81"/>
      <c r="W178" s="82"/>
      <c r="X178" s="83"/>
      <c r="Y178" s="78"/>
    </row>
    <row r="179" customFormat="false" ht="15" hidden="false" customHeight="false" outlineLevel="0" collapsed="false">
      <c r="A179" s="5" t="n">
        <v>59</v>
      </c>
      <c r="B179" s="5" t="s">
        <v>249</v>
      </c>
      <c r="C179" s="5" t="s">
        <v>256</v>
      </c>
      <c r="D179" s="38" t="n">
        <v>89</v>
      </c>
      <c r="E179" s="38" t="n">
        <v>3</v>
      </c>
      <c r="F179" s="30" t="n">
        <v>17.2</v>
      </c>
      <c r="G179" s="30" t="n">
        <v>0</v>
      </c>
      <c r="H179" s="16" t="n">
        <v>9.9999408986</v>
      </c>
      <c r="I179" s="12" t="n">
        <f aca="false">H179</f>
        <v>9.9999408986</v>
      </c>
      <c r="J179" s="12" t="n">
        <f aca="false">10+LOG10(SIN(RADIANS(D179+E179/60+F179/3600)))</f>
        <v>9.9999408987593</v>
      </c>
      <c r="K179" s="25" t="n">
        <f aca="false">(I179-J179)*10000000000</f>
        <v>-1.59296575930057</v>
      </c>
      <c r="L179" s="39" t="s">
        <v>100</v>
      </c>
      <c r="N179" s="16" t="n">
        <v>4.3878042963</v>
      </c>
      <c r="O179" s="40" t="n">
        <f aca="false">O180+I179-I180</f>
        <v>4.38780351719999</v>
      </c>
      <c r="P179" s="41" t="n">
        <f aca="false">IF(N179="","",(O179-N179)*10000000000)</f>
        <v>-7791.00010284139</v>
      </c>
      <c r="Q179" s="38" t="n">
        <v>0</v>
      </c>
      <c r="R179" s="12" t="n">
        <f aca="false">I179-COS(RADIANS(D179+E179/60+F179/3600))/SIN(RADIANS(D179+E179/60+F179/3600))*RADIANS(Q179/3600)/LN(10)</f>
        <v>9.9999408986</v>
      </c>
      <c r="S179" s="40" t="n">
        <f aca="false">S180+R179-R180</f>
        <v>4.38780123247429</v>
      </c>
      <c r="T179" s="40" t="n">
        <f aca="false">T180+J179-J180</f>
        <v>4.38780237994738</v>
      </c>
      <c r="U179" s="42" t="n">
        <f aca="false">Summary!$C$6*ASIN(10^O179/Summary!$C$6)</f>
        <v>24423.4809929164</v>
      </c>
      <c r="V179" s="15" t="n">
        <v>24423.5248</v>
      </c>
      <c r="W179" s="43" t="n">
        <f aca="false">IF(V179="","",(V179-U179)*Summary!$C$7*1000)</f>
        <v>85.3816089361694</v>
      </c>
      <c r="X179" s="44" t="n">
        <f aca="false">U179*Summary!$C$7</f>
        <v>47602.2581467005</v>
      </c>
      <c r="Y179" s="26" t="n">
        <f aca="false">(D179+D180+D181-180)*3600+(E179+E180+E181)*60+F179+F180+F181-(G179+G180+G181)</f>
        <v>0</v>
      </c>
    </row>
    <row r="180" customFormat="false" ht="15" hidden="false" customHeight="false" outlineLevel="0" collapsed="false">
      <c r="A180" s="5" t="n">
        <v>59</v>
      </c>
      <c r="B180" s="5" t="s">
        <v>257</v>
      </c>
      <c r="C180" s="5" t="s">
        <v>258</v>
      </c>
      <c r="D180" s="38" t="n">
        <v>34</v>
      </c>
      <c r="E180" s="38" t="n">
        <v>37</v>
      </c>
      <c r="F180" s="30" t="n">
        <v>43.6</v>
      </c>
      <c r="G180" s="30" t="n">
        <v>0</v>
      </c>
      <c r="H180" s="16" t="n">
        <v>9.7545448761</v>
      </c>
      <c r="I180" s="12" t="n">
        <f aca="false">H180</f>
        <v>9.7545448761</v>
      </c>
      <c r="J180" s="12" t="n">
        <f aca="false">10+LOG10(SIN(RADIANS(D180+E180/60+F180/3600)))</f>
        <v>9.75454487648162</v>
      </c>
      <c r="K180" s="25" t="n">
        <f aca="false">(I180-J180)*10000000000</f>
        <v>-3.81621845235713</v>
      </c>
      <c r="L180" s="39" t="s">
        <v>103</v>
      </c>
      <c r="M180" s="0" t="n">
        <v>56</v>
      </c>
      <c r="N180" s="40"/>
      <c r="O180" s="40" t="n">
        <f aca="false">O171</f>
        <v>4.14240749469999</v>
      </c>
      <c r="P180" s="41"/>
      <c r="Q180" s="38" t="n">
        <v>0</v>
      </c>
      <c r="R180" s="12" t="n">
        <f aca="false">I180-COS(RADIANS(D180+E180/60+F180/3600))/SIN(RADIANS(D180+E180/60+F180/3600))*RADIANS(Q180/3600)/LN(10)</f>
        <v>9.7545448761</v>
      </c>
      <c r="S180" s="40" t="n">
        <f aca="false">S171</f>
        <v>4.14240520997429</v>
      </c>
      <c r="T180" s="40" t="n">
        <f aca="false">T171</f>
        <v>4.14240635766971</v>
      </c>
      <c r="U180" s="42"/>
      <c r="V180" s="42"/>
      <c r="W180" s="43"/>
      <c r="X180" s="44"/>
    </row>
    <row r="181" customFormat="false" ht="15" hidden="false" customHeight="false" outlineLevel="0" collapsed="false">
      <c r="A181" s="45" t="n">
        <v>59</v>
      </c>
      <c r="B181" s="45" t="s">
        <v>243</v>
      </c>
      <c r="C181" s="45" t="s">
        <v>259</v>
      </c>
      <c r="D181" s="46" t="n">
        <v>56</v>
      </c>
      <c r="E181" s="46" t="n">
        <v>18</v>
      </c>
      <c r="F181" s="47" t="n">
        <v>59.2</v>
      </c>
      <c r="G181" s="47" t="n">
        <v>0</v>
      </c>
      <c r="H181" s="48" t="n">
        <v>9.920182481</v>
      </c>
      <c r="I181" s="49" t="n">
        <f aca="false">H181</f>
        <v>9.920182481</v>
      </c>
      <c r="J181" s="49" t="n">
        <f aca="false">10+LOG10(SIN(RADIANS(D181+E181/60+F181/3600)))</f>
        <v>9.92018248110168</v>
      </c>
      <c r="K181" s="50" t="n">
        <f aca="false">(I181-J181)*10000000000</f>
        <v>-1.01675112773592</v>
      </c>
      <c r="L181" s="51" t="s">
        <v>100</v>
      </c>
      <c r="M181" s="51"/>
      <c r="N181" s="48" t="n">
        <v>4.3080458787</v>
      </c>
      <c r="O181" s="52" t="n">
        <f aca="false">O180+I181-I180</f>
        <v>4.30804509959999</v>
      </c>
      <c r="P181" s="53" t="n">
        <f aca="false">IF(N181="","",(O181-N181)*10000000000)</f>
        <v>-7791.00011172318</v>
      </c>
      <c r="Q181" s="46" t="n">
        <v>0</v>
      </c>
      <c r="R181" s="49" t="n">
        <f aca="false">I181-COS(RADIANS(D181+E181/60+F181/3600))/SIN(RADIANS(D181+E181/60+F181/3600))*RADIANS(Q181/3600)/LN(10)</f>
        <v>9.920182481</v>
      </c>
      <c r="S181" s="52" t="n">
        <f aca="false">S180+R181-R180</f>
        <v>4.30804281487429</v>
      </c>
      <c r="T181" s="52" t="n">
        <f aca="false">T180+J181-J180</f>
        <v>4.30804396228976</v>
      </c>
      <c r="U181" s="54" t="n">
        <f aca="false">Summary!$C$6*ASIN(10^O181/Summary!$C$6)</f>
        <v>20325.811860575</v>
      </c>
      <c r="V181" s="55" t="n">
        <v>20325.8483</v>
      </c>
      <c r="W181" s="56" t="n">
        <f aca="false">IF(V181="","",(V181-U181)*Summary!$C$7*1000)</f>
        <v>71.0217726251473</v>
      </c>
      <c r="X181" s="57" t="n">
        <f aca="false">U181*Summary!$C$7</f>
        <v>39615.7510679572</v>
      </c>
      <c r="Y181" s="51"/>
    </row>
    <row r="182" customFormat="false" ht="15" hidden="false" customHeight="false" outlineLevel="0" collapsed="false">
      <c r="A182" s="58" t="n">
        <v>60</v>
      </c>
      <c r="B182" s="58" t="s">
        <v>249</v>
      </c>
      <c r="C182" s="58" t="s">
        <v>260</v>
      </c>
      <c r="D182" s="59" t="n">
        <v>40</v>
      </c>
      <c r="E182" s="59" t="n">
        <v>53</v>
      </c>
      <c r="F182" s="60" t="n">
        <v>7.5</v>
      </c>
      <c r="G182" s="60" t="n">
        <v>0</v>
      </c>
      <c r="H182" s="61" t="n">
        <v>9.8159417701</v>
      </c>
      <c r="I182" s="62" t="n">
        <f aca="false">H182</f>
        <v>9.8159417701</v>
      </c>
      <c r="J182" s="62" t="n">
        <f aca="false">10+LOG10(SIN(RADIANS(D182+E182/60+F182/3600)))</f>
        <v>9.8159417704089</v>
      </c>
      <c r="K182" s="63" t="n">
        <f aca="false">(I182-J182)*10000000000</f>
        <v>-3.08899572587507</v>
      </c>
      <c r="L182" s="64" t="s">
        <v>100</v>
      </c>
      <c r="M182" s="64"/>
      <c r="N182" s="61" t="n">
        <v>4.1396253679</v>
      </c>
      <c r="O182" s="65" t="n">
        <f aca="false">O184+I182-I184</f>
        <v>4.13962458879999</v>
      </c>
      <c r="P182" s="66" t="n">
        <f aca="false">IF(N182="","",(O182-N182)*10000000000)</f>
        <v>-7791.00010284139</v>
      </c>
      <c r="Q182" s="59" t="n">
        <v>0</v>
      </c>
      <c r="R182" s="62" t="n">
        <f aca="false">I182-COS(RADIANS(D182+E182/60+F182/3600))/SIN(RADIANS(D182+E182/60+F182/3600))*RADIANS(Q182/3600)/LN(10)</f>
        <v>9.8159417701</v>
      </c>
      <c r="S182" s="65" t="n">
        <f aca="false">S184+R182-R184</f>
        <v>4.13962230407429</v>
      </c>
      <c r="T182" s="65" t="n">
        <f aca="false">T184+J182-J184</f>
        <v>4.13962345180752</v>
      </c>
      <c r="U182" s="67" t="n">
        <f aca="false">Summary!$C$6*ASIN(10^O182/Summary!$C$6)</f>
        <v>13791.956502365</v>
      </c>
      <c r="V182" s="68" t="n">
        <v>13792.0542</v>
      </c>
      <c r="W182" s="69" t="n">
        <f aca="false">IF(V182="","",(V182-U182)*Summary!$C$7*1000)</f>
        <v>190.41626558291</v>
      </c>
      <c r="X182" s="70" t="n">
        <f aca="false">U182*Summary!$C$7</f>
        <v>26881.0278913173</v>
      </c>
      <c r="Y182" s="71" t="n">
        <f aca="false">(D182+D183+D184-180)*3600+(E182+E183+E184)*60+F182+F183+F184-(G182+G183+G184)</f>
        <v>0</v>
      </c>
    </row>
    <row r="183" customFormat="false" ht="15" hidden="false" customHeight="false" outlineLevel="0" collapsed="false">
      <c r="A183" s="58" t="n">
        <v>60</v>
      </c>
      <c r="B183" s="58" t="s">
        <v>257</v>
      </c>
      <c r="C183" s="58" t="s">
        <v>254</v>
      </c>
      <c r="D183" s="59" t="n">
        <v>33</v>
      </c>
      <c r="E183" s="59" t="n">
        <v>49</v>
      </c>
      <c r="F183" s="60" t="n">
        <v>51.9</v>
      </c>
      <c r="G183" s="60" t="n">
        <v>0</v>
      </c>
      <c r="H183" s="61" t="n">
        <v>9.7456573768</v>
      </c>
      <c r="I183" s="62" t="n">
        <f aca="false">H183</f>
        <v>9.7456573768</v>
      </c>
      <c r="J183" s="62" t="n">
        <f aca="false">10+LOG10(SIN(RADIANS(D183+E183/60+F183/3600)))</f>
        <v>9.74565737702072</v>
      </c>
      <c r="K183" s="63" t="n">
        <f aca="false">(I183-J183)*10000000000</f>
        <v>-2.2071589000916</v>
      </c>
      <c r="L183" s="64" t="s">
        <v>100</v>
      </c>
      <c r="M183" s="64"/>
      <c r="N183" s="61" t="n">
        <v>4.0693409745</v>
      </c>
      <c r="O183" s="65" t="n">
        <f aca="false">O184+I183-I184</f>
        <v>4.06934019549999</v>
      </c>
      <c r="P183" s="66" t="n">
        <f aca="false">IF(N183="","",(O183-N183)*10000000000)</f>
        <v>-7790.00010275865</v>
      </c>
      <c r="Q183" s="59" t="n">
        <v>0</v>
      </c>
      <c r="R183" s="62" t="n">
        <f aca="false">I183-COS(RADIANS(D183+E183/60+F183/3600))/SIN(RADIANS(D183+E183/60+F183/3600))*RADIANS(Q183/3600)/LN(10)</f>
        <v>9.7456573768</v>
      </c>
      <c r="S183" s="65" t="n">
        <f aca="false">S184+R183-R184</f>
        <v>4.06933791077429</v>
      </c>
      <c r="T183" s="65" t="n">
        <f aca="false">T184+J183-J184</f>
        <v>4.06933905841933</v>
      </c>
      <c r="U183" s="67" t="n">
        <f aca="false">Summary!$C$6*ASIN(10^O183/Summary!$C$6)</f>
        <v>11731.1646099571</v>
      </c>
      <c r="V183" s="68" t="n">
        <v>11731.1857</v>
      </c>
      <c r="W183" s="69" t="n">
        <f aca="false">IF(V183="","",(V183-U183)*Summary!$C$7*1000)</f>
        <v>41.1052653053783</v>
      </c>
      <c r="X183" s="70" t="n">
        <f aca="false">U183*Summary!$C$7</f>
        <v>22864.469085573</v>
      </c>
      <c r="Y183" s="64"/>
    </row>
    <row r="184" customFormat="false" ht="15" hidden="false" customHeight="false" outlineLevel="0" collapsed="false">
      <c r="A184" s="72" t="n">
        <v>60</v>
      </c>
      <c r="B184" s="72" t="s">
        <v>255</v>
      </c>
      <c r="C184" s="72" t="s">
        <v>259</v>
      </c>
      <c r="D184" s="73" t="n">
        <v>105</v>
      </c>
      <c r="E184" s="73" t="n">
        <v>17</v>
      </c>
      <c r="F184" s="74" t="n">
        <v>0.6</v>
      </c>
      <c r="G184" s="74" t="n">
        <v>0</v>
      </c>
      <c r="H184" s="75" t="n">
        <v>9.9843622809</v>
      </c>
      <c r="I184" s="76" t="n">
        <f aca="false">H184</f>
        <v>9.9843622809</v>
      </c>
      <c r="J184" s="76" t="n">
        <f aca="false">10+LOG10(SIN(RADIANS(D184+E184/60+F184/3600)))</f>
        <v>9.98436228089114</v>
      </c>
      <c r="K184" s="77" t="n">
        <f aca="false">(I184-J184)*10000000000</f>
        <v>0.0885513884441025</v>
      </c>
      <c r="L184" s="78" t="s">
        <v>103</v>
      </c>
      <c r="M184" s="78" t="n">
        <v>59</v>
      </c>
      <c r="N184" s="79"/>
      <c r="O184" s="79" t="n">
        <f aca="false">O181</f>
        <v>4.30804509959999</v>
      </c>
      <c r="P184" s="80"/>
      <c r="Q184" s="73" t="n">
        <v>0</v>
      </c>
      <c r="R184" s="76" t="n">
        <f aca="false">I184-COS(RADIANS(D184+E184/60+F184/3600))/SIN(RADIANS(D184+E184/60+F184/3600))*RADIANS(Q184/3600)/LN(10)</f>
        <v>9.9843622809</v>
      </c>
      <c r="S184" s="79" t="n">
        <f aca="false">S181</f>
        <v>4.30804281487429</v>
      </c>
      <c r="T184" s="79" t="n">
        <f aca="false">T181</f>
        <v>4.30804396228976</v>
      </c>
      <c r="U184" s="81"/>
      <c r="V184" s="81"/>
      <c r="W184" s="82"/>
      <c r="X184" s="83"/>
      <c r="Y184" s="78"/>
    </row>
    <row r="185" customFormat="false" ht="15" hidden="false" customHeight="false" outlineLevel="0" collapsed="false">
      <c r="A185" s="5" t="n">
        <v>61</v>
      </c>
      <c r="B185" s="5" t="s">
        <v>249</v>
      </c>
      <c r="C185" s="5" t="s">
        <v>261</v>
      </c>
      <c r="D185" s="38" t="n">
        <v>25</v>
      </c>
      <c r="E185" s="38" t="n">
        <v>3</v>
      </c>
      <c r="F185" s="30" t="n">
        <v>47.42</v>
      </c>
      <c r="G185" s="30" t="n">
        <v>0.15</v>
      </c>
      <c r="H185" s="16" t="n">
        <v>9.6269736529</v>
      </c>
      <c r="I185" s="12" t="n">
        <f aca="false">H185</f>
        <v>9.6269736529</v>
      </c>
      <c r="J185" s="12" t="n">
        <f aca="false">10+LOG10(SIN(RADIANS(D185+E185/60+F185/3600)))</f>
        <v>9.62697365333377</v>
      </c>
      <c r="K185" s="25" t="n">
        <f aca="false">(I185-J185)*10000000000</f>
        <v>-4.33765023899468</v>
      </c>
      <c r="L185" s="39" t="s">
        <v>100</v>
      </c>
      <c r="N185" s="16" t="n">
        <v>3.7577443902</v>
      </c>
      <c r="O185" s="40" t="n">
        <f aca="false">O187+I185-I187</f>
        <v>3.75774438959999</v>
      </c>
      <c r="P185" s="41" t="n">
        <f aca="false">IF(N185="","",(O185-N185)*10000000000)</f>
        <v>-6.00011595963679</v>
      </c>
      <c r="Q185" s="38" t="n">
        <v>0.05</v>
      </c>
      <c r="R185" s="12" t="n">
        <f aca="false">I185-COS(RADIANS(D185+E185/60+F185/3600))/SIN(RADIANS(D185+E185/60+F185/3600))*RADIANS(Q185/3600)/LN(10)</f>
        <v>9.62697342778334</v>
      </c>
      <c r="S185" s="40" t="n">
        <f aca="false">S187+R185-R187</f>
        <v>3.75774098072759</v>
      </c>
      <c r="T185" s="40" t="n">
        <f aca="false">T187+J185-J187</f>
        <v>3.75774325331133</v>
      </c>
      <c r="U185" s="42" t="n">
        <f aca="false">Summary!$C$6*ASIN(10^O185/Summary!$C$6)</f>
        <v>5724.59295597609</v>
      </c>
      <c r="V185" s="15" t="n">
        <v>5724.593</v>
      </c>
      <c r="W185" s="43" t="n">
        <f aca="false">IF(V185="","",(V185-U185)*Summary!$C$7*1000)</f>
        <v>0.0858042027243771</v>
      </c>
      <c r="X185" s="44" t="n">
        <f aca="false">U185*Summary!$C$7</f>
        <v>11157.4411425707</v>
      </c>
      <c r="Y185" s="26" t="n">
        <f aca="false">(D185+D186+D187-180)*3600+(E185+E186+E187)*60+F185+F186+F187-(G185+G186+G187)</f>
        <v>-4.55191440096314E-015</v>
      </c>
    </row>
    <row r="186" customFormat="false" ht="15" hidden="false" customHeight="false" outlineLevel="0" collapsed="false">
      <c r="A186" s="5" t="n">
        <v>61</v>
      </c>
      <c r="B186" s="5" t="s">
        <v>255</v>
      </c>
      <c r="C186" s="5" t="s">
        <v>262</v>
      </c>
      <c r="D186" s="38" t="n">
        <v>94</v>
      </c>
      <c r="E186" s="38" t="n">
        <v>42</v>
      </c>
      <c r="F186" s="30" t="n">
        <v>18.91</v>
      </c>
      <c r="G186" s="30" t="n">
        <v>0.36</v>
      </c>
      <c r="H186" s="16" t="n">
        <v>9.9985338994</v>
      </c>
      <c r="I186" s="12" t="n">
        <f aca="false">H186</f>
        <v>9.9985338994</v>
      </c>
      <c r="J186" s="12" t="n">
        <f aca="false">10+LOG10(SIN(RADIANS(D186+E186/60+F186/3600)))</f>
        <v>9.99853389955562</v>
      </c>
      <c r="K186" s="25" t="n">
        <f aca="false">(I186-J186)*10000000000</f>
        <v>-1.55619517272498</v>
      </c>
      <c r="L186" s="39" t="s">
        <v>100</v>
      </c>
      <c r="N186" s="16" t="n">
        <v>4.1293046367</v>
      </c>
      <c r="O186" s="40" t="n">
        <f aca="false">O187+I186-I187</f>
        <v>4.12930463609999</v>
      </c>
      <c r="P186" s="41" t="n">
        <f aca="false">IF(N186="","",(O186-N186)*10000000000)</f>
        <v>-6.00011595963679</v>
      </c>
      <c r="Q186" s="38" t="n">
        <v>0.05</v>
      </c>
      <c r="R186" s="12" t="n">
        <f aca="false">I186-COS(RADIANS(D186+E186/60+F186/3600))/SIN(RADIANS(D186+E186/60+F186/3600))*RADIANS(Q186/3600)/LN(10)</f>
        <v>9.99853390806498</v>
      </c>
      <c r="S186" s="40" t="n">
        <f aca="false">S187+R186-R187</f>
        <v>4.12930146100922</v>
      </c>
      <c r="T186" s="40" t="n">
        <f aca="false">T187+J186-J187</f>
        <v>4.12930349953318</v>
      </c>
      <c r="U186" s="42" t="n">
        <f aca="false">Summary!$C$6*ASIN(10^O186/Summary!$C$6)</f>
        <v>13468.085544646</v>
      </c>
      <c r="V186" s="15" t="n">
        <v>13468.8773</v>
      </c>
      <c r="W186" s="43" t="n">
        <f aca="false">IF(V186="","",(V186-U186)*Summary!$C$7*1000)</f>
        <v>1543.16015641531</v>
      </c>
      <c r="X186" s="44" t="n">
        <f aca="false">U186*Summary!$C$7</f>
        <v>26249.7915438028</v>
      </c>
    </row>
    <row r="187" customFormat="false" ht="15" hidden="false" customHeight="false" outlineLevel="0" collapsed="false">
      <c r="A187" s="45" t="n">
        <v>61</v>
      </c>
      <c r="B187" s="45" t="s">
        <v>263</v>
      </c>
      <c r="C187" s="45" t="s">
        <v>254</v>
      </c>
      <c r="D187" s="46" t="n">
        <v>60</v>
      </c>
      <c r="E187" s="46" t="n">
        <v>13</v>
      </c>
      <c r="F187" s="47" t="n">
        <v>54.3</v>
      </c>
      <c r="G187" s="47" t="n">
        <v>0.12</v>
      </c>
      <c r="H187" s="48" t="n">
        <v>9.9385409955</v>
      </c>
      <c r="I187" s="48" t="n">
        <v>9.9385400957</v>
      </c>
      <c r="J187" s="49" t="n">
        <f aca="false">10+LOG10(SIN(RADIANS(D187+E187/60+F187/3600)))</f>
        <v>9.93854009565385</v>
      </c>
      <c r="K187" s="50" t="n">
        <f aca="false">(I187-J187)*10000000000</f>
        <v>0.461533034012973</v>
      </c>
      <c r="L187" s="51" t="s">
        <v>103</v>
      </c>
      <c r="M187" s="51" t="n">
        <v>58</v>
      </c>
      <c r="N187" s="52"/>
      <c r="O187" s="52" t="n">
        <f aca="false">O177</f>
        <v>4.06931083239999</v>
      </c>
      <c r="P187" s="53"/>
      <c r="Q187" s="46" t="n">
        <v>-0.1</v>
      </c>
      <c r="R187" s="49" t="n">
        <f aca="false">I187-COS(RADIANS(D187+E187/60+F187/3600))/SIN(RADIANS(D187+E187/60+F187/3600))*RADIANS(Q187/3600)/LN(10)</f>
        <v>9.93854021612932</v>
      </c>
      <c r="S187" s="52" t="n">
        <f aca="false">S177</f>
        <v>4.06930776907357</v>
      </c>
      <c r="T187" s="52" t="n">
        <f aca="false">T177</f>
        <v>4.06930969563141</v>
      </c>
      <c r="U187" s="54"/>
      <c r="V187" s="54"/>
      <c r="W187" s="56"/>
      <c r="X187" s="57"/>
      <c r="Y187" s="51"/>
    </row>
    <row r="188" customFormat="false" ht="15" hidden="false" customHeight="false" outlineLevel="0" collapsed="false">
      <c r="A188" s="58" t="n">
        <v>62</v>
      </c>
      <c r="B188" s="58" t="s">
        <v>255</v>
      </c>
      <c r="C188" s="58" t="s">
        <v>264</v>
      </c>
      <c r="D188" s="59" t="n">
        <v>34</v>
      </c>
      <c r="E188" s="59" t="n">
        <v>34</v>
      </c>
      <c r="F188" s="60" t="n">
        <v>51.38</v>
      </c>
      <c r="G188" s="60" t="n">
        <v>0.04</v>
      </c>
      <c r="H188" s="61" t="n">
        <v>9.7540193348</v>
      </c>
      <c r="I188" s="62" t="n">
        <f aca="false">H188</f>
        <v>9.7540193348</v>
      </c>
      <c r="J188" s="62" t="n">
        <f aca="false">10+LOG10(SIN(RADIANS(D188+E188/60+F188/3600)))</f>
        <v>9.75401933499877</v>
      </c>
      <c r="K188" s="63" t="n">
        <f aca="false">(I188-J188)*10000000000</f>
        <v>-1.98765448544691</v>
      </c>
      <c r="L188" s="64" t="s">
        <v>100</v>
      </c>
      <c r="M188" s="64"/>
      <c r="N188" s="61" t="n">
        <v>3.6306990051</v>
      </c>
      <c r="O188" s="65" t="n">
        <f aca="false">O190+I188-I190</f>
        <v>3.63069900449999</v>
      </c>
      <c r="P188" s="66" t="n">
        <f aca="false">IF(N188="","",(O188-N188)*10000000000)</f>
        <v>-6.00010263696049</v>
      </c>
      <c r="Q188" s="59" t="n">
        <v>0.05</v>
      </c>
      <c r="R188" s="62" t="n">
        <f aca="false">I188-COS(RADIANS(D188+E188/60+F188/3600))/SIN(RADIANS(D188+E188/60+F188/3600))*RADIANS(Q188/3600)/LN(10)</f>
        <v>9.75401918208515</v>
      </c>
      <c r="S188" s="65" t="n">
        <f aca="false">S190+R188-R190</f>
        <v>3.63069526310328</v>
      </c>
      <c r="T188" s="65" t="n">
        <f aca="false">T190+J188-J190</f>
        <v>3.63069786828277</v>
      </c>
      <c r="U188" s="67" t="n">
        <f aca="false">Summary!$C$6*ASIN(10^O188/Summary!$C$6)</f>
        <v>4272.6678056794</v>
      </c>
      <c r="V188" s="68" t="n">
        <v>4272.6679</v>
      </c>
      <c r="W188" s="69" t="n">
        <f aca="false">IF(V188="","",(V188-U188)*Summary!$C$7*1000)</f>
        <v>0.183834298180595</v>
      </c>
      <c r="X188" s="70" t="n">
        <f aca="false">U188*Summary!$C$7</f>
        <v>8327.58589654099</v>
      </c>
      <c r="Y188" s="71" t="n">
        <f aca="false">(D188+D189+D190-180)*3600+(E188+E189+E190)*60+F188+F189+F190-(G188+G189+G190)</f>
        <v>-3.1641356201817E-015</v>
      </c>
    </row>
    <row r="189" customFormat="false" ht="15" hidden="false" customHeight="false" outlineLevel="0" collapsed="false">
      <c r="A189" s="58" t="n">
        <v>62</v>
      </c>
      <c r="B189" s="58" t="s">
        <v>263</v>
      </c>
      <c r="C189" s="58" t="s">
        <v>265</v>
      </c>
      <c r="D189" s="59" t="n">
        <v>95</v>
      </c>
      <c r="E189" s="59" t="n">
        <v>54</v>
      </c>
      <c r="F189" s="60" t="n">
        <v>58.17</v>
      </c>
      <c r="G189" s="60" t="n">
        <v>0.14</v>
      </c>
      <c r="H189" s="61" t="n">
        <v>9.9976806735</v>
      </c>
      <c r="I189" s="62" t="n">
        <f aca="false">H189</f>
        <v>9.9976806735</v>
      </c>
      <c r="J189" s="62" t="n">
        <f aca="false">10+LOG10(SIN(RADIANS(D189+E189/60+F189/3600)))</f>
        <v>9.99768067358752</v>
      </c>
      <c r="K189" s="63" t="n">
        <f aca="false">(I189-J189)*10000000000</f>
        <v>-0.875228778340897</v>
      </c>
      <c r="L189" s="64" t="s">
        <v>100</v>
      </c>
      <c r="M189" s="64"/>
      <c r="N189" s="61" t="n">
        <v>3.8743603438</v>
      </c>
      <c r="O189" s="65" t="n">
        <f aca="false">O190+I189-I190</f>
        <v>3.87436034319999</v>
      </c>
      <c r="P189" s="66" t="n">
        <f aca="false">IF(N189="","",(O189-N189)*10000000000)</f>
        <v>-6.00011151874469</v>
      </c>
      <c r="Q189" s="59" t="n">
        <v>0.05</v>
      </c>
      <c r="R189" s="62" t="n">
        <f aca="false">I189-COS(RADIANS(D189+E189/60+F189/3600))/SIN(RADIANS(D189+E189/60+F189/3600))*RADIANS(Q189/3600)/LN(10)</f>
        <v>9.99768068440922</v>
      </c>
      <c r="S189" s="65" t="n">
        <f aca="false">S190+R189-R190</f>
        <v>3.87435676542735</v>
      </c>
      <c r="T189" s="65" t="n">
        <f aca="false">T190+J189-J190</f>
        <v>3.87435920687153</v>
      </c>
      <c r="U189" s="67" t="n">
        <f aca="false">Summary!$C$6*ASIN(10^O189/Summary!$C$6)</f>
        <v>7487.91185561106</v>
      </c>
      <c r="V189" s="68" t="n">
        <v>7487.9119</v>
      </c>
      <c r="W189" s="69" t="n">
        <f aca="false">IF(V189="","",(V189-U189)*Summary!$C$7*1000)</f>
        <v>0.0865156635761664</v>
      </c>
      <c r="X189" s="70" t="n">
        <f aca="false">U189*Summary!$C$7</f>
        <v>14594.2142004212</v>
      </c>
      <c r="Y189" s="64"/>
    </row>
    <row r="190" customFormat="false" ht="15" hidden="false" customHeight="false" outlineLevel="0" collapsed="false">
      <c r="A190" s="72" t="n">
        <v>62</v>
      </c>
      <c r="B190" s="72" t="s">
        <v>266</v>
      </c>
      <c r="C190" s="72" t="s">
        <v>261</v>
      </c>
      <c r="D190" s="73" t="n">
        <v>49</v>
      </c>
      <c r="E190" s="73" t="n">
        <v>30</v>
      </c>
      <c r="F190" s="74" t="n">
        <v>10.68</v>
      </c>
      <c r="G190" s="74" t="n">
        <v>0.05</v>
      </c>
      <c r="H190" s="75" t="n">
        <v>9.8810647199</v>
      </c>
      <c r="I190" s="76" t="n">
        <f aca="false">H190</f>
        <v>9.8810647199</v>
      </c>
      <c r="J190" s="76" t="n">
        <f aca="false">10+LOG10(SIN(RADIANS(D190+E190/60+F190/3600)))</f>
        <v>9.88106472002732</v>
      </c>
      <c r="K190" s="77" t="n">
        <f aca="false">(I190-J190)*10000000000</f>
        <v>-1.27320376464013</v>
      </c>
      <c r="L190" s="78" t="s">
        <v>103</v>
      </c>
      <c r="M190" s="78" t="n">
        <v>61</v>
      </c>
      <c r="N190" s="79"/>
      <c r="O190" s="79" t="n">
        <f aca="false">O185</f>
        <v>3.75774438959999</v>
      </c>
      <c r="P190" s="80"/>
      <c r="Q190" s="73" t="n">
        <v>-0.1</v>
      </c>
      <c r="R190" s="76" t="n">
        <f aca="false">I190-COS(RADIANS(D190+E190/60+F190/3600))/SIN(RADIANS(D190+E190/60+F190/3600))*RADIANS(Q190/3600)/LN(10)</f>
        <v>9.88106489970946</v>
      </c>
      <c r="S190" s="79" t="n">
        <f aca="false">S185</f>
        <v>3.75774098072759</v>
      </c>
      <c r="T190" s="79" t="n">
        <f aca="false">T185</f>
        <v>3.75774325331133</v>
      </c>
      <c r="U190" s="81"/>
      <c r="V190" s="81"/>
      <c r="W190" s="82"/>
      <c r="X190" s="83"/>
      <c r="Y190" s="78"/>
    </row>
    <row r="191" customFormat="false" ht="15" hidden="false" customHeight="false" outlineLevel="0" collapsed="false">
      <c r="A191" s="5" t="n">
        <v>63</v>
      </c>
      <c r="B191" s="5" t="s">
        <v>249</v>
      </c>
      <c r="C191" s="5" t="s">
        <v>265</v>
      </c>
      <c r="D191" s="38" t="n">
        <v>19</v>
      </c>
      <c r="E191" s="38" t="n">
        <v>23</v>
      </c>
      <c r="F191" s="30" t="n">
        <v>7</v>
      </c>
      <c r="G191" s="30" t="n">
        <v>0</v>
      </c>
      <c r="H191" s="16" t="n">
        <v>9.5210317966</v>
      </c>
      <c r="I191" s="12" t="n">
        <f aca="false">H191</f>
        <v>9.5210317966</v>
      </c>
      <c r="J191" s="12" t="n">
        <f aca="false">10+LOG10(SIN(RADIANS(D191+E191/60+F191/3600)))</f>
        <v>9.52103179763497</v>
      </c>
      <c r="K191" s="25" t="n">
        <f aca="false">(I191-J191)*10000000000</f>
        <v>-10.3496411441029</v>
      </c>
      <c r="L191" s="39" t="s">
        <v>100</v>
      </c>
      <c r="N191" s="16" t="n">
        <v>3.874362616</v>
      </c>
      <c r="O191" s="40" t="n">
        <f aca="false">O193+I191-I193</f>
        <v>3.87436227009999</v>
      </c>
      <c r="P191" s="41" t="n">
        <f aca="false">IF(N191="","",(O191-N191)*10000000000)</f>
        <v>-3459.00009968148</v>
      </c>
      <c r="Q191" s="38" t="n">
        <v>0</v>
      </c>
      <c r="R191" s="12" t="n">
        <f aca="false">I191-COS(RADIANS(D191+E191/60+F191/3600))/SIN(RADIANS(D191+E191/60+F191/3600))*RADIANS(Q191/3600)/LN(10)</f>
        <v>9.5210317966</v>
      </c>
      <c r="S191" s="40" t="n">
        <f aca="false">S193+R191-R193</f>
        <v>3.87435920677357</v>
      </c>
      <c r="T191" s="40" t="n">
        <f aca="false">T193+J191-J193</f>
        <v>3.87437310189751</v>
      </c>
      <c r="U191" s="42" t="n">
        <f aca="false">Summary!$C$6*ASIN(10^O191/Summary!$C$6)</f>
        <v>7487.94507849378</v>
      </c>
      <c r="V191" s="15" t="n">
        <v>7487.9511</v>
      </c>
      <c r="W191" s="43" t="n">
        <f aca="false">IF(V191="","",(V191-U191)*Summary!$C$7*1000)</f>
        <v>11.736135954015</v>
      </c>
      <c r="X191" s="44" t="n">
        <f aca="false">U191*Summary!$C$7</f>
        <v>14594.2789530353</v>
      </c>
      <c r="Y191" s="26" t="n">
        <f aca="false">(D191+D192+D193-180)*3600+(E191+E192+E193)*60+F191+F192+F193-(G191+G192+G193)</f>
        <v>0</v>
      </c>
    </row>
    <row r="192" customFormat="false" ht="15" hidden="false" customHeight="false" outlineLevel="0" collapsed="false">
      <c r="A192" s="5" t="n">
        <v>63</v>
      </c>
      <c r="B192" s="5" t="s">
        <v>255</v>
      </c>
      <c r="C192" s="5" t="s">
        <v>267</v>
      </c>
      <c r="D192" s="38" t="n">
        <v>129</v>
      </c>
      <c r="E192" s="38" t="n">
        <v>17</v>
      </c>
      <c r="F192" s="30" t="n">
        <v>7</v>
      </c>
      <c r="G192" s="30" t="n">
        <v>0</v>
      </c>
      <c r="H192" s="16" t="n">
        <v>9.8887426057</v>
      </c>
      <c r="I192" s="12" t="n">
        <f aca="false">H192</f>
        <v>9.8887426057</v>
      </c>
      <c r="J192" s="12" t="n">
        <f aca="false">10+LOG10(SIN(RADIANS(D192+E192/60+F192/3600)))</f>
        <v>9.88874260594118</v>
      </c>
      <c r="K192" s="25" t="n">
        <f aca="false">(I192-J192)*10000000000</f>
        <v>-2.4118307351273</v>
      </c>
      <c r="L192" s="39" t="s">
        <v>100</v>
      </c>
      <c r="N192" s="16" t="n">
        <v>4.2420734251</v>
      </c>
      <c r="O192" s="40" t="n">
        <f aca="false">O193+I192-I193</f>
        <v>4.24207307919999</v>
      </c>
      <c r="P192" s="41" t="n">
        <f aca="false">IF(N192="","",(O192-N192)*10000000000)</f>
        <v>-3459.00011744504</v>
      </c>
      <c r="Q192" s="38" t="n">
        <v>0</v>
      </c>
      <c r="R192" s="12" t="n">
        <f aca="false">I192-COS(RADIANS(D192+E192/60+F192/3600))/SIN(RADIANS(D192+E192/60+F192/3600))*RADIANS(Q192/3600)/LN(10)</f>
        <v>9.8887426057</v>
      </c>
      <c r="S192" s="40" t="n">
        <f aca="false">S193+R192-R193</f>
        <v>4.24207001587357</v>
      </c>
      <c r="T192" s="40" t="n">
        <f aca="false">T193+J192-J193</f>
        <v>4.24208391020373</v>
      </c>
      <c r="U192" s="42" t="n">
        <f aca="false">Summary!$C$6*ASIN(10^O192/Summary!$C$6)</f>
        <v>17461.2426231971</v>
      </c>
      <c r="V192" s="15" t="n">
        <v>17461.2565</v>
      </c>
      <c r="W192" s="43" t="n">
        <f aca="false">IF(V192="","",(V192-U192)*Summary!$C$7*1000)</f>
        <v>27.0463966020867</v>
      </c>
      <c r="X192" s="44" t="n">
        <f aca="false">U192*Summary!$C$7</f>
        <v>34032.6008054574</v>
      </c>
    </row>
    <row r="193" customFormat="false" ht="15" hidden="false" customHeight="false" outlineLevel="0" collapsed="false">
      <c r="A193" s="45" t="n">
        <v>63</v>
      </c>
      <c r="B193" s="45" t="s">
        <v>266</v>
      </c>
      <c r="C193" s="45" t="s">
        <v>254</v>
      </c>
      <c r="D193" s="46" t="n">
        <v>31</v>
      </c>
      <c r="E193" s="46" t="n">
        <v>19</v>
      </c>
      <c r="F193" s="47" t="n">
        <v>46</v>
      </c>
      <c r="G193" s="47" t="n">
        <v>0</v>
      </c>
      <c r="H193" s="48" t="n">
        <v>9.7159803589</v>
      </c>
      <c r="I193" s="49" t="n">
        <f aca="false">H193</f>
        <v>9.7159803589</v>
      </c>
      <c r="J193" s="49" t="n">
        <f aca="false">10+LOG10(SIN(RADIANS(D193+E193/60+F193/3600)))</f>
        <v>9.71596839136886</v>
      </c>
      <c r="K193" s="50" t="n">
        <f aca="false">(I193-J193)*10000000000</f>
        <v>119675.311367473</v>
      </c>
      <c r="L193" s="51" t="s">
        <v>103</v>
      </c>
      <c r="M193" s="51" t="n">
        <v>58</v>
      </c>
      <c r="N193" s="52"/>
      <c r="O193" s="52" t="n">
        <f aca="false">O177</f>
        <v>4.06931083239999</v>
      </c>
      <c r="P193" s="53"/>
      <c r="Q193" s="46" t="n">
        <v>0</v>
      </c>
      <c r="R193" s="49" t="n">
        <f aca="false">I193-COS(RADIANS(D193+E193/60+F193/3600))/SIN(RADIANS(D193+E193/60+F193/3600))*RADIANS(Q193/3600)/LN(10)</f>
        <v>9.7159803589</v>
      </c>
      <c r="S193" s="52" t="n">
        <f aca="false">S177</f>
        <v>4.06930776907357</v>
      </c>
      <c r="T193" s="52" t="n">
        <f aca="false">T177</f>
        <v>4.06930969563141</v>
      </c>
      <c r="U193" s="54"/>
      <c r="V193" s="54"/>
      <c r="W193" s="56"/>
      <c r="X193" s="57"/>
      <c r="Y193" s="51"/>
    </row>
    <row r="194" customFormat="false" ht="15" hidden="false" customHeight="false" outlineLevel="0" collapsed="false">
      <c r="A194" s="58" t="n">
        <v>64</v>
      </c>
      <c r="B194" s="58" t="s">
        <v>255</v>
      </c>
      <c r="C194" s="58" t="s">
        <v>268</v>
      </c>
      <c r="D194" s="59" t="n">
        <v>35</v>
      </c>
      <c r="E194" s="59" t="n">
        <v>7</v>
      </c>
      <c r="F194" s="60" t="n">
        <v>27.04</v>
      </c>
      <c r="G194" s="60" t="n">
        <v>0.08</v>
      </c>
      <c r="H194" s="61" t="n">
        <v>9.7599324532</v>
      </c>
      <c r="I194" s="62" t="n">
        <f aca="false">H194</f>
        <v>9.7599324532</v>
      </c>
      <c r="J194" s="62" t="n">
        <f aca="false">10+LOG10(SIN(RADIANS(D194+E194/60+F194/3600)))</f>
        <v>9.75993245344555</v>
      </c>
      <c r="K194" s="63" t="n">
        <f aca="false">(I194-J194)*10000000000</f>
        <v>-2.45549358623975</v>
      </c>
      <c r="L194" s="64" t="s">
        <v>100</v>
      </c>
      <c r="M194" s="64"/>
      <c r="N194" s="61" t="n">
        <v>3.8591081008</v>
      </c>
      <c r="O194" s="65" t="n">
        <f aca="false">O196+I194-I196</f>
        <v>3.85910810019999</v>
      </c>
      <c r="P194" s="66" t="n">
        <f aca="false">IF(N194="","",(O194-N194)*10000000000)</f>
        <v>-6.00012040052889</v>
      </c>
      <c r="Q194" s="59" t="n">
        <v>0.05</v>
      </c>
      <c r="R194" s="62" t="n">
        <f aca="false">I194-COS(RADIANS(D194+E194/60+F194/3600))/SIN(RADIANS(D194+E194/60+F194/3600))*RADIANS(Q194/3600)/LN(10)</f>
        <v>9.75993230354175</v>
      </c>
      <c r="S194" s="65" t="n">
        <f aca="false">S196+R194-R196</f>
        <v>3.85910408903239</v>
      </c>
      <c r="T194" s="65" t="n">
        <f aca="false">T196+J194-J196</f>
        <v>3.8591069639574</v>
      </c>
      <c r="U194" s="67" t="n">
        <f aca="false">Summary!$C$6*ASIN(10^O194/Summary!$C$6)</f>
        <v>7229.50320590418</v>
      </c>
      <c r="V194" s="68" t="n">
        <v>7229.5032</v>
      </c>
      <c r="W194" s="69" t="n">
        <f aca="false">IF(V194="","",(V194-U194)*Summary!$C$7*1000)</f>
        <v>-0.0115074618656523</v>
      </c>
      <c r="X194" s="70" t="n">
        <f aca="false">U194*Summary!$C$7</f>
        <v>14090.5662865855</v>
      </c>
      <c r="Y194" s="71" t="n">
        <f aca="false">(D194+D195+D196-180)*3600+(E194+E195+E196)*60+F194+F195+F196-(G194+G195+G196)</f>
        <v>-7.105427357601E-015</v>
      </c>
    </row>
    <row r="195" customFormat="false" ht="15" hidden="false" customHeight="false" outlineLevel="0" collapsed="false">
      <c r="A195" s="58" t="n">
        <v>64</v>
      </c>
      <c r="B195" s="58" t="s">
        <v>266</v>
      </c>
      <c r="C195" s="58" t="s">
        <v>269</v>
      </c>
      <c r="D195" s="59" t="n">
        <v>108</v>
      </c>
      <c r="E195" s="59" t="n">
        <v>17</v>
      </c>
      <c r="F195" s="60" t="n">
        <v>52.93</v>
      </c>
      <c r="G195" s="60" t="n">
        <v>0.34</v>
      </c>
      <c r="H195" s="61" t="n">
        <v>9.9774658046</v>
      </c>
      <c r="I195" s="62" t="n">
        <f aca="false">H195</f>
        <v>9.9774658046</v>
      </c>
      <c r="J195" s="62" t="n">
        <f aca="false">10+LOG10(SIN(RADIANS(D195+E195/60+F195/3600)))</f>
        <v>9.97746580454119</v>
      </c>
      <c r="K195" s="63" t="n">
        <f aca="false">(I195-J195)*10000000000</f>
        <v>0.588080695251847</v>
      </c>
      <c r="L195" s="64" t="s">
        <v>100</v>
      </c>
      <c r="M195" s="64"/>
      <c r="N195" s="61" t="n">
        <v>4.076641452</v>
      </c>
      <c r="O195" s="65" t="n">
        <f aca="false">O196+I195-I196</f>
        <v>4.07664145159999</v>
      </c>
      <c r="P195" s="66" t="n">
        <f aca="false">IF(N195="","",(O195-N195)*10000000000)</f>
        <v>-4.00011579415605</v>
      </c>
      <c r="Q195" s="59" t="n">
        <v>0.05</v>
      </c>
      <c r="R195" s="62" t="n">
        <f aca="false">I195-COS(RADIANS(D195+E195/60+F195/3600))/SIN(RADIANS(D195+E195/60+F195/3600))*RADIANS(Q195/3600)/LN(10)</f>
        <v>9.97746583941269</v>
      </c>
      <c r="S195" s="65" t="n">
        <f aca="false">S196+R195-R196</f>
        <v>4.07663762490333</v>
      </c>
      <c r="T195" s="65" t="n">
        <f aca="false">T196+J195-J196</f>
        <v>4.07664031505304</v>
      </c>
      <c r="U195" s="67" t="n">
        <f aca="false">Summary!$C$6*ASIN(10^O195/Summary!$C$6)</f>
        <v>11930.0542017453</v>
      </c>
      <c r="V195" s="68" t="n">
        <v>11930.1173</v>
      </c>
      <c r="W195" s="69" t="n">
        <f aca="false">IF(V195="","",(V195-U195)*Summary!$C$7*1000)</f>
        <v>122.98080732423</v>
      </c>
      <c r="X195" s="70" t="n">
        <f aca="false">U195*Summary!$C$7</f>
        <v>23252.1121776342</v>
      </c>
      <c r="Y195" s="64"/>
    </row>
    <row r="196" customFormat="false" ht="15" hidden="false" customHeight="false" outlineLevel="0" collapsed="false">
      <c r="A196" s="72" t="n">
        <v>64</v>
      </c>
      <c r="B196" s="72" t="s">
        <v>270</v>
      </c>
      <c r="C196" s="72" t="s">
        <v>265</v>
      </c>
      <c r="D196" s="73" t="n">
        <v>36</v>
      </c>
      <c r="E196" s="73" t="n">
        <v>34</v>
      </c>
      <c r="F196" s="74" t="n">
        <v>40.53</v>
      </c>
      <c r="G196" s="74" t="n">
        <v>0.08</v>
      </c>
      <c r="H196" s="75" t="n">
        <v>9.7751846962</v>
      </c>
      <c r="I196" s="76" t="n">
        <f aca="false">H196</f>
        <v>9.7751846962</v>
      </c>
      <c r="J196" s="76" t="n">
        <f aca="false">10+LOG10(SIN(RADIANS(D196+E196/60+F196/3600)))</f>
        <v>9.77518469635968</v>
      </c>
      <c r="K196" s="77" t="n">
        <f aca="false">(I196-J196)*10000000000</f>
        <v>-1.59678492650528</v>
      </c>
      <c r="L196" s="78" t="s">
        <v>103</v>
      </c>
      <c r="M196" s="78" t="n">
        <v>62</v>
      </c>
      <c r="N196" s="79"/>
      <c r="O196" s="79" t="n">
        <f aca="false">O189</f>
        <v>3.87436034319999</v>
      </c>
      <c r="P196" s="80"/>
      <c r="Q196" s="73" t="n">
        <v>-0.1</v>
      </c>
      <c r="R196" s="76" t="n">
        <f aca="false">I196-COS(RADIANS(D196+E196/60+F196/3600))/SIN(RADIANS(D196+E196/60+F196/3600))*RADIANS(Q196/3600)/LN(10)</f>
        <v>9.7751849799367</v>
      </c>
      <c r="S196" s="79" t="n">
        <f aca="false">S189</f>
        <v>3.87435676542735</v>
      </c>
      <c r="T196" s="79" t="n">
        <f aca="false">T189</f>
        <v>3.87435920687153</v>
      </c>
      <c r="U196" s="81"/>
      <c r="V196" s="81"/>
      <c r="W196" s="82"/>
      <c r="X196" s="83"/>
      <c r="Y196" s="78"/>
    </row>
    <row r="197" customFormat="false" ht="15" hidden="false" customHeight="false" outlineLevel="0" collapsed="false">
      <c r="A197" s="5" t="n">
        <v>65</v>
      </c>
      <c r="B197" s="5" t="s">
        <v>266</v>
      </c>
      <c r="C197" s="5" t="s">
        <v>271</v>
      </c>
      <c r="D197" s="38" t="n">
        <v>47</v>
      </c>
      <c r="E197" s="38" t="n">
        <v>23</v>
      </c>
      <c r="F197" s="30" t="n">
        <v>37.62</v>
      </c>
      <c r="G197" s="30" t="n">
        <v>0.12</v>
      </c>
      <c r="H197" s="16" t="n">
        <v>9.8668917639</v>
      </c>
      <c r="I197" s="12" t="n">
        <f aca="false">H197</f>
        <v>9.8668917639</v>
      </c>
      <c r="J197" s="12" t="n">
        <f aca="false">10+LOG10(SIN(RADIANS(D197+E197/60+F197/3600)))</f>
        <v>9.86689176397271</v>
      </c>
      <c r="K197" s="25" t="n">
        <f aca="false">(I197-J197)*10000000000</f>
        <v>-0.727062854366523</v>
      </c>
      <c r="L197" s="39" t="s">
        <v>100</v>
      </c>
      <c r="N197" s="16" t="n">
        <v>3.9910081041</v>
      </c>
      <c r="O197" s="40" t="n">
        <f aca="false">O199+I197-I199</f>
        <v>3.99100810359999</v>
      </c>
      <c r="P197" s="41" t="n">
        <f aca="false">IF(N197="","",(O197-N197)*10000000000)</f>
        <v>-5.00012031778851</v>
      </c>
      <c r="Q197" s="38" t="n">
        <v>0.05</v>
      </c>
      <c r="R197" s="12" t="n">
        <f aca="false">I197-COS(RADIANS(D197+E197/60+F197/3600))/SIN(RADIANS(D197+E197/60+F197/3600))*RADIANS(Q197/3600)/LN(10)</f>
        <v>9.86689166707272</v>
      </c>
      <c r="S197" s="40" t="n">
        <f aca="false">S199+R197-R199</f>
        <v>3.99100367019715</v>
      </c>
      <c r="T197" s="40" t="n">
        <f aca="false">T199+J197-J199</f>
        <v>3.99100696697676</v>
      </c>
      <c r="U197" s="42" t="n">
        <f aca="false">Summary!$C$6*ASIN(10^O197/Summary!$C$6)</f>
        <v>9795.09729596614</v>
      </c>
      <c r="V197" s="15" t="n">
        <v>9795.0973</v>
      </c>
      <c r="W197" s="43" t="n">
        <f aca="false">IF(V197="","",(V197-U197)*Summary!$C$7*1000)</f>
        <v>0.00786213724429618</v>
      </c>
      <c r="X197" s="44" t="n">
        <f aca="false">U197*Summary!$C$7</f>
        <v>19091.0030470211</v>
      </c>
      <c r="Y197" s="26" t="n">
        <f aca="false">(D197+D198+D199-180)*3600+(E197+E198+E199)*60+F197+F198+F199-(G197+G198+G199)</f>
        <v>0</v>
      </c>
    </row>
    <row r="198" customFormat="false" ht="15" hidden="false" customHeight="false" outlineLevel="0" collapsed="false">
      <c r="A198" s="5" t="n">
        <v>65</v>
      </c>
      <c r="B198" s="5" t="s">
        <v>270</v>
      </c>
      <c r="C198" s="5" t="s">
        <v>272</v>
      </c>
      <c r="D198" s="38" t="n">
        <v>99</v>
      </c>
      <c r="E198" s="38" t="n">
        <v>42</v>
      </c>
      <c r="F198" s="30" t="n">
        <v>6.94</v>
      </c>
      <c r="G198" s="30" t="n">
        <v>0.41</v>
      </c>
      <c r="H198" s="16" t="n">
        <v>9.9937437869</v>
      </c>
      <c r="I198" s="12" t="n">
        <f aca="false">H198</f>
        <v>9.9937437869</v>
      </c>
      <c r="J198" s="12" t="n">
        <f aca="false">10+LOG10(SIN(RADIANS(D198+E198/60+F198/3600)))</f>
        <v>9.99374378703536</v>
      </c>
      <c r="K198" s="25" t="n">
        <f aca="false">(I198-J198)*10000000000</f>
        <v>-1.35360167519138</v>
      </c>
      <c r="L198" s="39" t="s">
        <v>100</v>
      </c>
      <c r="N198" s="16" t="n">
        <v>4.1178601272</v>
      </c>
      <c r="O198" s="40" t="n">
        <f aca="false">O199+I198-I199</f>
        <v>4.11786012659999</v>
      </c>
      <c r="P198" s="41" t="n">
        <f aca="false">IF(N198="","",(O198-N198)*10000000000)</f>
        <v>-6.00012484142098</v>
      </c>
      <c r="Q198" s="38" t="n">
        <v>0.05</v>
      </c>
      <c r="R198" s="12" t="n">
        <f aca="false">I198-COS(RADIANS(D198+E198/60+F198/3600))/SIN(RADIANS(D198+E198/60+F198/3600))*RADIANS(Q198/3600)/LN(10)</f>
        <v>9.99374380489879</v>
      </c>
      <c r="S198" s="40" t="n">
        <f aca="false">S199+R198-R199</f>
        <v>4.11785580802322</v>
      </c>
      <c r="T198" s="40" t="n">
        <f aca="false">T199+J198-J199</f>
        <v>4.11785899003942</v>
      </c>
      <c r="U198" s="42" t="n">
        <f aca="false">Summary!$C$6*ASIN(10^O198/Summary!$C$6)</f>
        <v>13117.8087109944</v>
      </c>
      <c r="V198" s="15" t="n">
        <v>13117.8082</v>
      </c>
      <c r="W198" s="43" t="n">
        <f aca="false">IF(V198="","",(V198-U198)*Summary!$C$7*1000)</f>
        <v>-0.995946768527542</v>
      </c>
      <c r="X198" s="44" t="n">
        <f aca="false">U198*Summary!$C$7</f>
        <v>25567.0891778653</v>
      </c>
    </row>
    <row r="199" customFormat="false" ht="15" hidden="false" customHeight="false" outlineLevel="0" collapsed="false">
      <c r="A199" s="45" t="n">
        <v>65</v>
      </c>
      <c r="B199" s="45" t="s">
        <v>273</v>
      </c>
      <c r="C199" s="45" t="s">
        <v>268</v>
      </c>
      <c r="D199" s="46" t="n">
        <v>32</v>
      </c>
      <c r="E199" s="46" t="n">
        <v>54</v>
      </c>
      <c r="F199" s="47" t="n">
        <v>16.11</v>
      </c>
      <c r="G199" s="47" t="n">
        <v>0.14</v>
      </c>
      <c r="H199" s="48" t="n">
        <v>9.7349917605</v>
      </c>
      <c r="I199" s="49" t="n">
        <f aca="false">H199</f>
        <v>9.7349917605</v>
      </c>
      <c r="J199" s="49" t="n">
        <f aca="false">10+LOG10(SIN(RADIANS(D199+E199/60+F199/3600)))</f>
        <v>9.73499176095334</v>
      </c>
      <c r="K199" s="50" t="n">
        <f aca="false">(I199-J199)*10000000000</f>
        <v>-4.53340476269659</v>
      </c>
      <c r="L199" s="51" t="s">
        <v>103</v>
      </c>
      <c r="M199" s="51" t="n">
        <v>64</v>
      </c>
      <c r="N199" s="52"/>
      <c r="O199" s="52" t="n">
        <f aca="false">O194</f>
        <v>3.85910810019999</v>
      </c>
      <c r="P199" s="53"/>
      <c r="Q199" s="46" t="n">
        <v>-0.1</v>
      </c>
      <c r="R199" s="49" t="n">
        <f aca="false">I199-COS(RADIANS(D199+E199/60+F199/3600))/SIN(RADIANS(D199+E199/60+F199/3600))*RADIANS(Q199/3600)/LN(10)</f>
        <v>9.73499208590796</v>
      </c>
      <c r="S199" s="52" t="n">
        <f aca="false">S194</f>
        <v>3.85910408903239</v>
      </c>
      <c r="T199" s="52" t="n">
        <f aca="false">T194</f>
        <v>3.8591069639574</v>
      </c>
      <c r="U199" s="54"/>
      <c r="V199" s="54"/>
      <c r="W199" s="56"/>
      <c r="X199" s="57"/>
      <c r="Y199" s="51"/>
    </row>
    <row r="200" customFormat="false" ht="15" hidden="false" customHeight="false" outlineLevel="0" collapsed="false">
      <c r="A200" s="58" t="n">
        <v>66</v>
      </c>
      <c r="B200" s="58" t="s">
        <v>270</v>
      </c>
      <c r="C200" s="58" t="s">
        <v>274</v>
      </c>
      <c r="D200" s="59" t="n">
        <v>77</v>
      </c>
      <c r="E200" s="59" t="n">
        <v>55</v>
      </c>
      <c r="F200" s="60" t="n">
        <v>22.32</v>
      </c>
      <c r="G200" s="60" t="n">
        <v>0.46</v>
      </c>
      <c r="H200" s="61" t="n">
        <v>9.990279709</v>
      </c>
      <c r="I200" s="62" t="n">
        <f aca="false">H200</f>
        <v>9.990279709</v>
      </c>
      <c r="J200" s="62" t="n">
        <f aca="false">10+LOG10(SIN(RADIANS(D200+E200/60+F200/3600)))</f>
        <v>9.99027970916193</v>
      </c>
      <c r="K200" s="63" t="n">
        <f aca="false">(I200-J200)*10000000000</f>
        <v>-1.61927360409209</v>
      </c>
      <c r="L200" s="64" t="s">
        <v>100</v>
      </c>
      <c r="M200" s="64"/>
      <c r="N200" s="61" t="n">
        <v>4.1441043583</v>
      </c>
      <c r="O200" s="65" t="n">
        <f aca="false">O202+I200-I202</f>
        <v>4.14410435779999</v>
      </c>
      <c r="P200" s="66" t="n">
        <f aca="false">IF(N200="","",(O200-N200)*10000000000)</f>
        <v>-5.00012475868061</v>
      </c>
      <c r="Q200" s="59" t="n">
        <v>0.05</v>
      </c>
      <c r="R200" s="62" t="n">
        <f aca="false">I200-COS(RADIANS(D200+E200/60+F200/3600))/SIN(RADIANS(D200+E200/60+F200/3600))*RADIANS(Q200/3600)/LN(10)</f>
        <v>9.99027968647473</v>
      </c>
      <c r="S200" s="65" t="n">
        <f aca="false">S202+R200-R202</f>
        <v>4.14409967938593</v>
      </c>
      <c r="T200" s="65" t="n">
        <f aca="false">T202+J200-J202</f>
        <v>4.14410322118887</v>
      </c>
      <c r="U200" s="67" t="n">
        <f aca="false">Summary!$C$6*ASIN(10^O200/Summary!$C$6)</f>
        <v>13934.9583397858</v>
      </c>
      <c r="V200" s="68" t="n">
        <v>13934.9584</v>
      </c>
      <c r="W200" s="69" t="n">
        <f aca="false">IF(V200="","",(V200-U200)*Summary!$C$7*1000)</f>
        <v>0.117359737522786</v>
      </c>
      <c r="X200" s="70" t="n">
        <f aca="false">U200*Summary!$C$7</f>
        <v>27159.7437051004</v>
      </c>
      <c r="Y200" s="71" t="n">
        <f aca="false">(D200+D201+D202-180)*3600+(E200+E201+E202)*60+F200+F201+F202-(G200+G201+G202)</f>
        <v>0</v>
      </c>
    </row>
    <row r="201" customFormat="false" ht="15" hidden="false" customHeight="false" outlineLevel="0" collapsed="false">
      <c r="A201" s="58" t="n">
        <v>66</v>
      </c>
      <c r="B201" s="58" t="s">
        <v>273</v>
      </c>
      <c r="C201" s="58" t="s">
        <v>275</v>
      </c>
      <c r="D201" s="59" t="n">
        <v>58</v>
      </c>
      <c r="E201" s="59" t="n">
        <v>39</v>
      </c>
      <c r="F201" s="60" t="n">
        <v>21.78</v>
      </c>
      <c r="G201" s="60" t="n">
        <v>0.34</v>
      </c>
      <c r="H201" s="61" t="n">
        <v>9.9314884178</v>
      </c>
      <c r="I201" s="62" t="n">
        <f aca="false">H201</f>
        <v>9.9314884178</v>
      </c>
      <c r="J201" s="62" t="n">
        <f aca="false">10+LOG10(SIN(RADIANS(D201+E201/60+F201/3600)))</f>
        <v>9.93148841776591</v>
      </c>
      <c r="K201" s="63" t="n">
        <f aca="false">(I201-J201)*10000000000</f>
        <v>0.340865113912514</v>
      </c>
      <c r="L201" s="64" t="s">
        <v>100</v>
      </c>
      <c r="M201" s="64"/>
      <c r="N201" s="61" t="n">
        <v>4.0853130671</v>
      </c>
      <c r="O201" s="65" t="n">
        <f aca="false">O202+I201-I202</f>
        <v>4.08531306659999</v>
      </c>
      <c r="P201" s="66" t="n">
        <f aca="false">IF(N201="","",(O201-N201)*10000000000)</f>
        <v>-5.00011587689642</v>
      </c>
      <c r="Q201" s="59" t="n">
        <v>0.05</v>
      </c>
      <c r="R201" s="62" t="n">
        <f aca="false">I201-COS(RADIANS(D201+E201/60+F201/3600))/SIN(RADIANS(D201+E201/60+F201/3600))*RADIANS(Q201/3600)/LN(10)</f>
        <v>9.93148835368056</v>
      </c>
      <c r="S201" s="65" t="n">
        <f aca="false">S202+R201-R202</f>
        <v>4.08530834659176</v>
      </c>
      <c r="T201" s="65" t="n">
        <f aca="false">T202+J201-J202</f>
        <v>4.08531192979286</v>
      </c>
      <c r="U201" s="67" t="n">
        <f aca="false">Summary!$C$6*ASIN(10^O201/Summary!$C$6)</f>
        <v>12170.6583465907</v>
      </c>
      <c r="V201" s="68" t="n">
        <v>12170.6752</v>
      </c>
      <c r="W201" s="69" t="n">
        <f aca="false">IF(V201="","",(V201-U201)*Summary!$C$7*1000)</f>
        <v>32.8479114506685</v>
      </c>
      <c r="X201" s="70" t="n">
        <f aca="false">U201*Summary!$C$7</f>
        <v>23721.0584600015</v>
      </c>
      <c r="Y201" s="64"/>
    </row>
    <row r="202" customFormat="false" ht="15" hidden="false" customHeight="false" outlineLevel="0" collapsed="false">
      <c r="A202" s="72" t="n">
        <v>66</v>
      </c>
      <c r="B202" s="72" t="s">
        <v>276</v>
      </c>
      <c r="C202" s="72" t="s">
        <v>271</v>
      </c>
      <c r="D202" s="73" t="n">
        <v>43</v>
      </c>
      <c r="E202" s="73" t="n">
        <v>25</v>
      </c>
      <c r="F202" s="74" t="n">
        <v>17.01</v>
      </c>
      <c r="G202" s="74" t="n">
        <v>0.31</v>
      </c>
      <c r="H202" s="75" t="n">
        <v>9.8371834548</v>
      </c>
      <c r="I202" s="76" t="n">
        <f aca="false">H202</f>
        <v>9.8371834548</v>
      </c>
      <c r="J202" s="76" t="n">
        <f aca="false">10+LOG10(SIN(RADIANS(D202+E202/60+F202/3600)))</f>
        <v>9.83718345494982</v>
      </c>
      <c r="K202" s="77" t="n">
        <f aca="false">(I202-J202)*10000000000</f>
        <v>-1.49823264905535</v>
      </c>
      <c r="L202" s="78" t="s">
        <v>103</v>
      </c>
      <c r="M202" s="78" t="n">
        <v>65</v>
      </c>
      <c r="N202" s="79"/>
      <c r="O202" s="79" t="n">
        <f aca="false">O197</f>
        <v>3.99100810359999</v>
      </c>
      <c r="P202" s="80"/>
      <c r="Q202" s="73" t="n">
        <v>-0.1</v>
      </c>
      <c r="R202" s="76" t="n">
        <f aca="false">I202-COS(RADIANS(D202+E202/60+F202/3600))/SIN(RADIANS(D202+E202/60+F202/3600))*RADIANS(Q202/3600)/LN(10)</f>
        <v>9.83718367728595</v>
      </c>
      <c r="S202" s="79" t="n">
        <f aca="false">S197</f>
        <v>3.99100367019715</v>
      </c>
      <c r="T202" s="79" t="n">
        <f aca="false">T197</f>
        <v>3.99100696697676</v>
      </c>
      <c r="U202" s="81"/>
      <c r="V202" s="81"/>
      <c r="W202" s="82"/>
      <c r="X202" s="83"/>
      <c r="Y202" s="78"/>
    </row>
    <row r="203" customFormat="false" ht="15" hidden="false" customHeight="false" outlineLevel="0" collapsed="false">
      <c r="A203" s="5" t="n">
        <v>67</v>
      </c>
      <c r="B203" s="5" t="s">
        <v>273</v>
      </c>
      <c r="C203" s="5" t="s">
        <v>277</v>
      </c>
      <c r="D203" s="38" t="n">
        <v>15</v>
      </c>
      <c r="E203" s="38" t="n">
        <v>21</v>
      </c>
      <c r="F203" s="30" t="n">
        <v>24.5</v>
      </c>
      <c r="G203" s="30" t="n">
        <v>0</v>
      </c>
      <c r="H203" s="40"/>
      <c r="I203" s="40"/>
      <c r="J203" s="40"/>
      <c r="K203" s="41"/>
      <c r="N203" s="40"/>
      <c r="O203" s="40"/>
      <c r="P203" s="41"/>
      <c r="R203" s="40"/>
      <c r="S203" s="40"/>
      <c r="T203" s="40"/>
      <c r="U203" s="42"/>
      <c r="V203" s="42"/>
      <c r="W203" s="43"/>
      <c r="X203" s="44"/>
      <c r="Y203" s="26" t="n">
        <f aca="false">(D203+D204+D205-180)*3600+(E203+E204+E205)*60+F203+F204+F205-(G203+G204+G205)</f>
        <v>0</v>
      </c>
    </row>
    <row r="204" customFormat="false" ht="15" hidden="false" customHeight="false" outlineLevel="0" collapsed="false">
      <c r="A204" s="5" t="n">
        <v>67</v>
      </c>
      <c r="B204" s="5" t="s">
        <v>276</v>
      </c>
      <c r="C204" s="5" t="s">
        <v>278</v>
      </c>
      <c r="D204" s="38" t="n">
        <v>43</v>
      </c>
      <c r="E204" s="38" t="n">
        <v>50</v>
      </c>
      <c r="F204" s="30" t="n">
        <v>47.8</v>
      </c>
      <c r="G204" s="30" t="n">
        <v>0</v>
      </c>
      <c r="H204" s="40"/>
      <c r="I204" s="40"/>
      <c r="J204" s="40"/>
      <c r="K204" s="41"/>
      <c r="N204" s="40"/>
      <c r="O204" s="40"/>
      <c r="P204" s="41"/>
      <c r="R204" s="40"/>
      <c r="S204" s="40"/>
      <c r="T204" s="40"/>
      <c r="U204" s="42"/>
      <c r="V204" s="42"/>
      <c r="W204" s="43"/>
      <c r="X204" s="44"/>
    </row>
    <row r="205" customFormat="false" ht="15" hidden="false" customHeight="false" outlineLevel="0" collapsed="false">
      <c r="A205" s="45" t="n">
        <v>67</v>
      </c>
      <c r="B205" s="45" t="s">
        <v>279</v>
      </c>
      <c r="C205" s="45" t="s">
        <v>274</v>
      </c>
      <c r="D205" s="46" t="n">
        <v>120</v>
      </c>
      <c r="E205" s="46" t="n">
        <v>47</v>
      </c>
      <c r="F205" s="47" t="n">
        <v>47.7</v>
      </c>
      <c r="G205" s="47" t="n">
        <v>0</v>
      </c>
      <c r="H205" s="52"/>
      <c r="I205" s="52"/>
      <c r="J205" s="52"/>
      <c r="K205" s="53"/>
      <c r="L205" s="51"/>
      <c r="M205" s="51"/>
      <c r="N205" s="52"/>
      <c r="O205" s="52"/>
      <c r="P205" s="53"/>
      <c r="Q205" s="51"/>
      <c r="R205" s="52"/>
      <c r="S205" s="52"/>
      <c r="T205" s="52"/>
      <c r="U205" s="54"/>
      <c r="V205" s="54"/>
      <c r="W205" s="56"/>
      <c r="X205" s="57"/>
      <c r="Y205" s="51"/>
    </row>
    <row r="206" customFormat="false" ht="15" hidden="false" customHeight="false" outlineLevel="0" collapsed="false">
      <c r="A206" s="58" t="n">
        <v>68</v>
      </c>
      <c r="B206" s="58" t="s">
        <v>280</v>
      </c>
      <c r="C206" s="58" t="s">
        <v>277</v>
      </c>
      <c r="D206" s="59" t="n">
        <v>26</v>
      </c>
      <c r="E206" s="59" t="n">
        <v>23</v>
      </c>
      <c r="F206" s="60" t="n">
        <v>16</v>
      </c>
      <c r="G206" s="60" t="n">
        <v>0</v>
      </c>
      <c r="H206" s="65"/>
      <c r="I206" s="65"/>
      <c r="J206" s="65"/>
      <c r="K206" s="66"/>
      <c r="L206" s="64"/>
      <c r="M206" s="64"/>
      <c r="N206" s="65"/>
      <c r="O206" s="65"/>
      <c r="P206" s="66"/>
      <c r="Q206" s="64"/>
      <c r="R206" s="65"/>
      <c r="S206" s="65"/>
      <c r="T206" s="65"/>
      <c r="U206" s="67"/>
      <c r="V206" s="67"/>
      <c r="W206" s="69"/>
      <c r="X206" s="70"/>
      <c r="Y206" s="71" t="n">
        <f aca="false">(D206+D207+D208-180)*3600+(E206+E207+E208)*60+F206+F207+F208-(G206+G207+G208)</f>
        <v>0</v>
      </c>
    </row>
    <row r="207" customFormat="false" ht="15" hidden="false" customHeight="false" outlineLevel="0" collapsed="false">
      <c r="A207" s="58" t="n">
        <v>68</v>
      </c>
      <c r="B207" s="58" t="s">
        <v>276</v>
      </c>
      <c r="C207" s="58" t="s">
        <v>281</v>
      </c>
      <c r="D207" s="59" t="n">
        <v>50</v>
      </c>
      <c r="E207" s="59" t="n">
        <v>28</v>
      </c>
      <c r="F207" s="60" t="n">
        <v>8</v>
      </c>
      <c r="G207" s="60" t="n">
        <v>0</v>
      </c>
      <c r="H207" s="65"/>
      <c r="I207" s="65"/>
      <c r="J207" s="65"/>
      <c r="K207" s="66"/>
      <c r="L207" s="64"/>
      <c r="M207" s="64"/>
      <c r="N207" s="65"/>
      <c r="O207" s="65"/>
      <c r="P207" s="66"/>
      <c r="Q207" s="64"/>
      <c r="R207" s="65"/>
      <c r="S207" s="65"/>
      <c r="T207" s="65"/>
      <c r="U207" s="67"/>
      <c r="V207" s="67"/>
      <c r="W207" s="69"/>
      <c r="X207" s="70"/>
      <c r="Y207" s="64"/>
    </row>
    <row r="208" customFormat="false" ht="15" hidden="false" customHeight="false" outlineLevel="0" collapsed="false">
      <c r="A208" s="72" t="n">
        <v>68</v>
      </c>
      <c r="B208" s="72" t="s">
        <v>279</v>
      </c>
      <c r="C208" s="72" t="s">
        <v>282</v>
      </c>
      <c r="D208" s="73" t="n">
        <v>103</v>
      </c>
      <c r="E208" s="73" t="n">
        <v>8</v>
      </c>
      <c r="F208" s="74" t="n">
        <v>36</v>
      </c>
      <c r="G208" s="74" t="n">
        <v>0</v>
      </c>
      <c r="H208" s="79"/>
      <c r="I208" s="79"/>
      <c r="J208" s="79"/>
      <c r="K208" s="80"/>
      <c r="L208" s="78"/>
      <c r="M208" s="78"/>
      <c r="N208" s="79"/>
      <c r="O208" s="79"/>
      <c r="P208" s="80"/>
      <c r="Q208" s="78"/>
      <c r="R208" s="79"/>
      <c r="S208" s="79"/>
      <c r="T208" s="79"/>
      <c r="U208" s="81"/>
      <c r="V208" s="81"/>
      <c r="W208" s="82"/>
      <c r="X208" s="83"/>
      <c r="Y208" s="78"/>
    </row>
    <row r="209" customFormat="false" ht="15" hidden="false" customHeight="false" outlineLevel="0" collapsed="false">
      <c r="A209" s="5" t="n">
        <v>69</v>
      </c>
      <c r="B209" s="5" t="s">
        <v>273</v>
      </c>
      <c r="C209" s="5" t="s">
        <v>283</v>
      </c>
      <c r="D209" s="38" t="n">
        <v>33</v>
      </c>
      <c r="E209" s="38" t="n">
        <v>36</v>
      </c>
      <c r="F209" s="30" t="n">
        <v>17.41</v>
      </c>
      <c r="G209" s="30" t="n">
        <v>0.2</v>
      </c>
      <c r="H209" s="16" t="n">
        <v>9.7430876909</v>
      </c>
      <c r="I209" s="12" t="n">
        <f aca="false">H209</f>
        <v>9.7430876909</v>
      </c>
      <c r="J209" s="12" t="n">
        <f aca="false">10+LOG10(SIN(RADIANS(D209+E209/60+F209/3600)))</f>
        <v>9.74308769111176</v>
      </c>
      <c r="K209" s="25" t="n">
        <f aca="false">(I209-J209)*10000000000</f>
        <v>-2.11757722468064</v>
      </c>
      <c r="L209" s="39" t="s">
        <v>100</v>
      </c>
      <c r="N209" s="16" t="n">
        <v>4.1185754226</v>
      </c>
      <c r="O209" s="40" t="n">
        <f aca="false">O211+I209-I211</f>
        <v>4.11857542199999</v>
      </c>
      <c r="P209" s="41" t="n">
        <f aca="false">IF(N209="","",(O209-N209)*10000000000)</f>
        <v>-6.00013372320518</v>
      </c>
      <c r="Q209" s="38" t="n">
        <v>0.05</v>
      </c>
      <c r="R209" s="12" t="n">
        <f aca="false">I209-COS(RADIANS(D209+E209/60+F209/3600))/SIN(RADIANS(D209+E209/60+F209/3600))*RADIANS(Q209/3600)/LN(10)</f>
        <v>9.74308753247597</v>
      </c>
      <c r="S209" s="40" t="n">
        <f aca="false">S211+R209-R211</f>
        <v>4.11857029474805</v>
      </c>
      <c r="T209" s="40" t="n">
        <f aca="false">T211+J209-J211</f>
        <v>4.11857428544716</v>
      </c>
      <c r="U209" s="42" t="n">
        <f aca="false">Summary!$C$6*ASIN(10^O209/Summary!$C$6)</f>
        <v>13139.4320347524</v>
      </c>
      <c r="V209" s="15" t="n">
        <v>13139.4321</v>
      </c>
      <c r="W209" s="43" t="n">
        <f aca="false">IF(V209="","",(V209-U209)*Summary!$C$7*1000)</f>
        <v>0.127169908705023</v>
      </c>
      <c r="X209" s="44" t="n">
        <f aca="false">U209*Summary!$C$7</f>
        <v>25609.2338270993</v>
      </c>
      <c r="Y209" s="26" t="n">
        <f aca="false">(D209+D210+D211-180)*3600+(E209+E210+E211)*60+F209+F210+F211-(G209+G210+G211)</f>
        <v>0</v>
      </c>
    </row>
    <row r="210" customFormat="false" ht="15" hidden="false" customHeight="false" outlineLevel="0" collapsed="false">
      <c r="A210" s="5" t="n">
        <v>69</v>
      </c>
      <c r="B210" s="5" t="s">
        <v>276</v>
      </c>
      <c r="C210" s="5" t="s">
        <v>284</v>
      </c>
      <c r="D210" s="38" t="n">
        <v>110</v>
      </c>
      <c r="E210" s="38" t="n">
        <v>27</v>
      </c>
      <c r="F210" s="30" t="n">
        <v>11.77</v>
      </c>
      <c r="G210" s="30" t="n">
        <v>1.28</v>
      </c>
      <c r="H210" s="16" t="n">
        <v>9.9717198952</v>
      </c>
      <c r="I210" s="12" t="n">
        <f aca="false">H210</f>
        <v>9.9717198952</v>
      </c>
      <c r="J210" s="12" t="n">
        <f aca="false">10+LOG10(SIN(RADIANS(D210+E210/60+F210/3600)))</f>
        <v>9.97171989541193</v>
      </c>
      <c r="K210" s="25" t="n">
        <f aca="false">(I210-J210)*10000000000</f>
        <v>-2.11930029081486</v>
      </c>
      <c r="L210" s="39" t="s">
        <v>100</v>
      </c>
      <c r="N210" s="16" t="n">
        <v>4.3472076269</v>
      </c>
      <c r="O210" s="40" t="n">
        <f aca="false">O211+I210-I211</f>
        <v>4.34720762629999</v>
      </c>
      <c r="P210" s="41" t="n">
        <f aca="false">IF(N210="","",(O210-N210)*10000000000)</f>
        <v>-6.00013372320518</v>
      </c>
      <c r="Q210" s="38" t="n">
        <v>0.05</v>
      </c>
      <c r="R210" s="12" t="n">
        <f aca="false">I210-COS(RADIANS(D210+E210/60+F210/3600))/SIN(RADIANS(D210+E210/60+F210/3600))*RADIANS(Q210/3600)/LN(10)</f>
        <v>9.97171993446323</v>
      </c>
      <c r="S210" s="40" t="n">
        <f aca="false">S211+R210-R211</f>
        <v>4.34720269673531</v>
      </c>
      <c r="T210" s="40" t="n">
        <f aca="false">T211+J210-J211</f>
        <v>4.34720648974733</v>
      </c>
      <c r="U210" s="42" t="n">
        <f aca="false">Summary!$C$6*ASIN(10^O210/Summary!$C$6)</f>
        <v>22243.9024483328</v>
      </c>
      <c r="V210" s="15" t="n">
        <v>22243.9025</v>
      </c>
      <c r="W210" s="43" t="n">
        <f aca="false">IF(V210="","",(V210-U210)*Summary!$C$7*1000)</f>
        <v>0.100701328657788</v>
      </c>
      <c r="X210" s="44" t="n">
        <f aca="false">U210*Summary!$C$7</f>
        <v>43354.1798092854</v>
      </c>
    </row>
    <row r="211" customFormat="false" ht="15" hidden="false" customHeight="false" outlineLevel="0" collapsed="false">
      <c r="A211" s="45" t="n">
        <v>69</v>
      </c>
      <c r="B211" s="45" t="s">
        <v>285</v>
      </c>
      <c r="C211" s="45" t="s">
        <v>274</v>
      </c>
      <c r="D211" s="46" t="n">
        <v>35</v>
      </c>
      <c r="E211" s="46" t="n">
        <v>56</v>
      </c>
      <c r="F211" s="47" t="n">
        <v>32.47</v>
      </c>
      <c r="G211" s="47" t="n">
        <v>0.17</v>
      </c>
      <c r="H211" s="48" t="n">
        <v>9.7686166267</v>
      </c>
      <c r="I211" s="49" t="n">
        <f aca="false">H211</f>
        <v>9.7686166267</v>
      </c>
      <c r="J211" s="49" t="n">
        <f aca="false">10+LOG10(SIN(RADIANS(D211+E211/60+F211/3600)))</f>
        <v>9.76861662685347</v>
      </c>
      <c r="K211" s="50" t="n">
        <f aca="false">(I211-J211)*10000000000</f>
        <v>-1.53468349139985</v>
      </c>
      <c r="L211" s="51" t="s">
        <v>103</v>
      </c>
      <c r="M211" s="51" t="n">
        <v>66</v>
      </c>
      <c r="N211" s="52"/>
      <c r="O211" s="52" t="n">
        <f aca="false">O200</f>
        <v>4.14410435779999</v>
      </c>
      <c r="P211" s="53"/>
      <c r="Q211" s="46" t="n">
        <v>-0.1</v>
      </c>
      <c r="R211" s="49" t="n">
        <f aca="false">I211-COS(RADIANS(D211+E211/60+F211/3600))/SIN(RADIANS(D211+E211/60+F211/3600))*RADIANS(Q211/3600)/LN(10)</f>
        <v>9.76861691711385</v>
      </c>
      <c r="S211" s="52" t="n">
        <f aca="false">S200</f>
        <v>4.14409967938593</v>
      </c>
      <c r="T211" s="52" t="n">
        <f aca="false">T200</f>
        <v>4.14410322118887</v>
      </c>
      <c r="U211" s="54"/>
      <c r="V211" s="54"/>
      <c r="W211" s="56"/>
      <c r="X211" s="57"/>
      <c r="Y211" s="51"/>
    </row>
    <row r="212" customFormat="false" ht="15" hidden="false" customHeight="false" outlineLevel="0" collapsed="false">
      <c r="A212" s="58" t="n">
        <v>70</v>
      </c>
      <c r="B212" s="58" t="s">
        <v>276</v>
      </c>
      <c r="C212" s="58" t="s">
        <v>286</v>
      </c>
      <c r="D212" s="59" t="n">
        <v>40</v>
      </c>
      <c r="E212" s="59" t="n">
        <v>27</v>
      </c>
      <c r="F212" s="60" t="n">
        <v>26.55</v>
      </c>
      <c r="G212" s="60" t="n">
        <v>0.3</v>
      </c>
      <c r="H212" s="61" t="n">
        <v>9.8121658385</v>
      </c>
      <c r="I212" s="62" t="n">
        <f aca="false">H212</f>
        <v>9.8121658385</v>
      </c>
      <c r="J212" s="62" t="n">
        <f aca="false">10+LOG10(SIN(RADIANS(D212+E212/60+F212/3600)))</f>
        <v>9.81216583891702</v>
      </c>
      <c r="K212" s="63" t="n">
        <f aca="false">(I212-J212)*10000000000</f>
        <v>-4.17015755260763</v>
      </c>
      <c r="L212" s="64" t="s">
        <v>100</v>
      </c>
      <c r="M212" s="64"/>
      <c r="N212" s="61" t="n">
        <v>4.1439482536</v>
      </c>
      <c r="O212" s="65" t="n">
        <f aca="false">O214+I212-I214</f>
        <v>4.14394825309999</v>
      </c>
      <c r="P212" s="66" t="n">
        <f aca="false">IF(N212="","",(O212-N212)*10000000000)</f>
        <v>-5.00012475868061</v>
      </c>
      <c r="Q212" s="59" t="n">
        <v>0.05</v>
      </c>
      <c r="R212" s="62" t="n">
        <f aca="false">I212-COS(RADIANS(D212+E212/60+F212/3600))/SIN(RADIANS(D212+E212/60+F212/3600))*RADIANS(Q212/3600)/LN(10)</f>
        <v>9.81216571505185</v>
      </c>
      <c r="S212" s="65" t="n">
        <f aca="false">S214+R212-R214</f>
        <v>4.14394273035558</v>
      </c>
      <c r="T212" s="65" t="n">
        <f aca="false">T214+J212-J214</f>
        <v>4.14394711662813</v>
      </c>
      <c r="U212" s="67" t="n">
        <f aca="false">Summary!$C$6*ASIN(10^O212/Summary!$C$6)</f>
        <v>13929.950367409</v>
      </c>
      <c r="V212" s="68" t="n">
        <v>13929.9505</v>
      </c>
      <c r="W212" s="69" t="n">
        <f aca="false">IF(V212="","",(V212-U212)*Summary!$C$7*1000)</f>
        <v>0.258424678371784</v>
      </c>
      <c r="X212" s="70" t="n">
        <f aca="false">U212*Summary!$C$7</f>
        <v>27149.9829836889</v>
      </c>
      <c r="Y212" s="71" t="n">
        <f aca="false">(D212+D213+D214-180)*3600+(E212+E213+E214)*60+F212+F213+F214-(G212+G213+G214)</f>
        <v>0</v>
      </c>
    </row>
    <row r="213" customFormat="false" ht="15" hidden="false" customHeight="false" outlineLevel="0" collapsed="false">
      <c r="A213" s="58" t="n">
        <v>70</v>
      </c>
      <c r="B213" s="58" t="s">
        <v>285</v>
      </c>
      <c r="C213" s="58" t="s">
        <v>287</v>
      </c>
      <c r="D213" s="59" t="n">
        <v>101</v>
      </c>
      <c r="E213" s="59" t="n">
        <v>48</v>
      </c>
      <c r="F213" s="60" t="n">
        <v>16.56</v>
      </c>
      <c r="G213" s="60" t="n">
        <v>1.09</v>
      </c>
      <c r="H213" s="61" t="n">
        <v>9.9907165743</v>
      </c>
      <c r="I213" s="62" t="n">
        <f aca="false">H213</f>
        <v>9.9907165743</v>
      </c>
      <c r="J213" s="62" t="n">
        <f aca="false">10+LOG10(SIN(RADIANS(D213+E213/60+F213/3600)))</f>
        <v>9.99071657446829</v>
      </c>
      <c r="K213" s="63" t="n">
        <f aca="false">(I213-J213)*10000000000</f>
        <v>-1.68288494251101</v>
      </c>
      <c r="L213" s="64" t="s">
        <v>100</v>
      </c>
      <c r="M213" s="64"/>
      <c r="N213" s="61" t="n">
        <v>4.3224989893</v>
      </c>
      <c r="O213" s="65" t="n">
        <f aca="false">O214+I213-I214</f>
        <v>4.32249898889999</v>
      </c>
      <c r="P213" s="66" t="n">
        <f aca="false">IF(N213="","",(O213-N213)*10000000000)</f>
        <v>-4.00012467594024</v>
      </c>
      <c r="Q213" s="59" t="n">
        <v>0.05</v>
      </c>
      <c r="R213" s="62" t="n">
        <f aca="false">I213-COS(RADIANS(D213+E213/60+F213/3600))/SIN(RADIANS(D213+E213/60+F213/3600))*RADIANS(Q213/3600)/LN(10)</f>
        <v>9.99071659630211</v>
      </c>
      <c r="S213" s="65" t="n">
        <f aca="false">S214+R213-R214</f>
        <v>4.32249361160585</v>
      </c>
      <c r="T213" s="65" t="n">
        <f aca="false">T214+J213-J214</f>
        <v>4.32249785217941</v>
      </c>
      <c r="U213" s="67" t="n">
        <f aca="false">Summary!$C$6*ASIN(10^O213/Summary!$C$6)</f>
        <v>21013.6736631309</v>
      </c>
      <c r="V213" s="68" t="n">
        <v>21013.6737</v>
      </c>
      <c r="W213" s="69" t="n">
        <f aca="false">IF(V213="","",(V213-U213)*Summary!$C$7*1000)</f>
        <v>0.071859182176013</v>
      </c>
      <c r="X213" s="70" t="n">
        <f aca="false">U213*Summary!$C$7</f>
        <v>40956.4188910254</v>
      </c>
      <c r="Y213" s="64"/>
    </row>
    <row r="214" customFormat="false" ht="15" hidden="false" customHeight="false" outlineLevel="0" collapsed="false">
      <c r="A214" s="72" t="n">
        <v>70</v>
      </c>
      <c r="B214" s="72" t="s">
        <v>288</v>
      </c>
      <c r="C214" s="72" t="s">
        <v>283</v>
      </c>
      <c r="D214" s="73" t="n">
        <v>37</v>
      </c>
      <c r="E214" s="73" t="n">
        <v>44</v>
      </c>
      <c r="F214" s="74" t="n">
        <v>18.61</v>
      </c>
      <c r="G214" s="74" t="n">
        <v>0.33</v>
      </c>
      <c r="H214" s="75" t="n">
        <v>9.7867930074</v>
      </c>
      <c r="I214" s="76" t="n">
        <f aca="false">H214</f>
        <v>9.7867930074</v>
      </c>
      <c r="J214" s="76" t="n">
        <f aca="false">10+LOG10(SIN(RADIANS(D214+E214/60+F214/3600)))</f>
        <v>9.78679300773604</v>
      </c>
      <c r="K214" s="77" t="n">
        <f aca="false">(I214-J214)*10000000000</f>
        <v>-3.36038752379864</v>
      </c>
      <c r="L214" s="78" t="s">
        <v>103</v>
      </c>
      <c r="M214" s="78" t="n">
        <v>69</v>
      </c>
      <c r="N214" s="79"/>
      <c r="O214" s="79" t="n">
        <f aca="false">O209</f>
        <v>4.11857542199999</v>
      </c>
      <c r="P214" s="80"/>
      <c r="Q214" s="73" t="n">
        <v>-0.1</v>
      </c>
      <c r="R214" s="76" t="n">
        <f aca="false">I214-COS(RADIANS(D214+E214/60+F214/3600))/SIN(RADIANS(D214+E214/60+F214/3600))*RADIANS(Q214/3600)/LN(10)</f>
        <v>9.78679327944431</v>
      </c>
      <c r="S214" s="79" t="n">
        <f aca="false">S209</f>
        <v>4.11857029474805</v>
      </c>
      <c r="T214" s="79" t="n">
        <f aca="false">T209</f>
        <v>4.11857428544716</v>
      </c>
      <c r="U214" s="81"/>
      <c r="V214" s="81"/>
      <c r="W214" s="82"/>
      <c r="X214" s="83"/>
      <c r="Y214" s="78"/>
    </row>
    <row r="215" customFormat="false" ht="15" hidden="false" customHeight="false" outlineLevel="0" collapsed="false">
      <c r="A215" s="5" t="n">
        <v>71</v>
      </c>
      <c r="B215" s="5" t="s">
        <v>285</v>
      </c>
      <c r="C215" s="5" t="s">
        <v>289</v>
      </c>
      <c r="D215" s="38" t="n">
        <v>41</v>
      </c>
      <c r="E215" s="38" t="n">
        <v>17</v>
      </c>
      <c r="F215" s="30" t="n">
        <v>13.47</v>
      </c>
      <c r="G215" s="30" t="n">
        <v>0.12</v>
      </c>
      <c r="H215" s="16" t="n">
        <v>9.8194334909</v>
      </c>
      <c r="I215" s="12" t="n">
        <f aca="false">H215</f>
        <v>9.8194334909</v>
      </c>
      <c r="J215" s="12" t="n">
        <f aca="false">10+LOG10(SIN(RADIANS(D215+E215/60+F215/3600)))</f>
        <v>9.81943349103785</v>
      </c>
      <c r="K215" s="25" t="n">
        <f aca="false">(I215-J215)*10000000000</f>
        <v>-1.37847067094299</v>
      </c>
      <c r="L215" s="39" t="s">
        <v>100</v>
      </c>
      <c r="N215" s="16" t="n">
        <v>3.9752891026</v>
      </c>
      <c r="O215" s="40" t="n">
        <f aca="false">O217+I215-I217</f>
        <v>3.97528910229999</v>
      </c>
      <c r="P215" s="41" t="n">
        <f aca="false">IF(N215="","",(O215-N215)*10000000000)</f>
        <v>-3.00012903409197</v>
      </c>
      <c r="Q215" s="38" t="n">
        <v>0.05</v>
      </c>
      <c r="R215" s="12" t="n">
        <f aca="false">I215-COS(RADIANS(D215+E215/60+F215/3600))/SIN(RADIANS(D215+E215/60+F215/3600))*RADIANS(Q215/3600)/LN(10)</f>
        <v>9.81943337101236</v>
      </c>
      <c r="S215" s="40" t="n">
        <f aca="false">S217+R215-R217</f>
        <v>3.97528350965651</v>
      </c>
      <c r="T215" s="40" t="n">
        <f aca="false">T217+J215-J217</f>
        <v>3.97528796587723</v>
      </c>
      <c r="U215" s="42" t="n">
        <f aca="false">Summary!$C$6*ASIN(10^O215/Summary!$C$6)</f>
        <v>9446.90846938506</v>
      </c>
      <c r="V215" s="15" t="n">
        <v>9446.9085</v>
      </c>
      <c r="W215" s="43" t="n">
        <f aca="false">IF(V215="","",(V215-U215)*Summary!$C$7*1000)</f>
        <v>0.0596696373956616</v>
      </c>
      <c r="X215" s="44" t="n">
        <f aca="false">U215*Summary!$C$7</f>
        <v>18412.3702832674</v>
      </c>
      <c r="Y215" s="26" t="n">
        <f aca="false">(D215+D216+D217-180)*3600+(E215+E216+E217)*60+F215+F216+F217-(G215+G216+G217)</f>
        <v>0</v>
      </c>
    </row>
    <row r="216" customFormat="false" ht="15" hidden="false" customHeight="false" outlineLevel="0" collapsed="false">
      <c r="A216" s="5" t="n">
        <v>71</v>
      </c>
      <c r="B216" s="5" t="s">
        <v>288</v>
      </c>
      <c r="C216" s="5" t="s">
        <v>290</v>
      </c>
      <c r="D216" s="38" t="n">
        <v>35</v>
      </c>
      <c r="E216" s="38" t="n">
        <v>21</v>
      </c>
      <c r="F216" s="30" t="n">
        <v>26.73</v>
      </c>
      <c r="G216" s="30" t="n">
        <v>0.15</v>
      </c>
      <c r="H216" s="16" t="n">
        <v>9.7624349543</v>
      </c>
      <c r="I216" s="12" t="n">
        <f aca="false">H216</f>
        <v>9.7624349543</v>
      </c>
      <c r="J216" s="12" t="n">
        <f aca="false">10+LOG10(SIN(RADIANS(D216+E216/60+F216/3600)))</f>
        <v>9.76243495466479</v>
      </c>
      <c r="K216" s="25" t="n">
        <f aca="false">(I216-J216)*10000000000</f>
        <v>-3.64785535111878</v>
      </c>
      <c r="L216" s="39" t="s">
        <v>100</v>
      </c>
      <c r="N216" s="16" t="n">
        <v>3.918290566</v>
      </c>
      <c r="O216" s="40" t="n">
        <f aca="false">O217+I216-I217</f>
        <v>3.91829056569999</v>
      </c>
      <c r="P216" s="41" t="n">
        <f aca="false">IF(N216="","",(O216-N216)*10000000000)</f>
        <v>-3.00012903409197</v>
      </c>
      <c r="Q216" s="38" t="n">
        <v>0.05</v>
      </c>
      <c r="R216" s="12" t="n">
        <f aca="false">I216-COS(RADIANS(D216+E216/60+F216/3600))/SIN(RADIANS(D216+E216/60+F216/3600))*RADIANS(Q216/3600)/LN(10)</f>
        <v>9.76243480592898</v>
      </c>
      <c r="S216" s="40" t="n">
        <f aca="false">S217+R216-R217</f>
        <v>3.91828494457312</v>
      </c>
      <c r="T216" s="40" t="n">
        <f aca="false">T217+J216-J217</f>
        <v>3.91828942950417</v>
      </c>
      <c r="U216" s="42" t="n">
        <f aca="false">Summary!$C$6*ASIN(10^O216/Summary!$C$6)</f>
        <v>8284.97173645363</v>
      </c>
      <c r="V216" s="15" t="n">
        <v>8284.9718</v>
      </c>
      <c r="W216" s="43" t="n">
        <f aca="false">IF(V216="","",(V216-U216)*Summary!$C$7*1000)</f>
        <v>0.123854209749376</v>
      </c>
      <c r="X216" s="44" t="n">
        <f aca="false">U216*Summary!$C$7</f>
        <v>16147.7130737902</v>
      </c>
    </row>
    <row r="217" customFormat="false" ht="15" hidden="false" customHeight="false" outlineLevel="0" collapsed="false">
      <c r="A217" s="45" t="n">
        <v>71</v>
      </c>
      <c r="B217" s="45" t="s">
        <v>291</v>
      </c>
      <c r="C217" s="45" t="s">
        <v>286</v>
      </c>
      <c r="D217" s="46" t="n">
        <v>103</v>
      </c>
      <c r="E217" s="46" t="n">
        <v>21</v>
      </c>
      <c r="F217" s="47" t="n">
        <v>20.54</v>
      </c>
      <c r="G217" s="47" t="n">
        <v>0.47</v>
      </c>
      <c r="H217" s="48" t="n">
        <v>9.9880926417</v>
      </c>
      <c r="I217" s="49" t="n">
        <f aca="false">H217</f>
        <v>9.9880926417</v>
      </c>
      <c r="J217" s="49" t="n">
        <f aca="false">10+LOG10(SIN(RADIANS(D217+E217/60+F217/3600)))</f>
        <v>9.98809264178875</v>
      </c>
      <c r="K217" s="50" t="n">
        <f aca="false">(I217-J217)*10000000000</f>
        <v>-0.887538931237941</v>
      </c>
      <c r="L217" s="51" t="s">
        <v>103</v>
      </c>
      <c r="M217" s="51" t="n">
        <v>70</v>
      </c>
      <c r="N217" s="52"/>
      <c r="O217" s="52" t="n">
        <f aca="false">O212</f>
        <v>4.14394825309999</v>
      </c>
      <c r="P217" s="53"/>
      <c r="Q217" s="46" t="n">
        <v>-0.1</v>
      </c>
      <c r="R217" s="49" t="n">
        <f aca="false">I217-COS(RADIANS(D217+E217/60+F217/3600))/SIN(RADIANS(D217+E217/60+F217/3600))*RADIANS(Q217/3600)/LN(10)</f>
        <v>9.98809259171144</v>
      </c>
      <c r="S217" s="52" t="n">
        <f aca="false">S212</f>
        <v>4.14394273035558</v>
      </c>
      <c r="T217" s="52" t="n">
        <f aca="false">T212</f>
        <v>4.14394711662813</v>
      </c>
      <c r="U217" s="54"/>
      <c r="V217" s="54"/>
      <c r="W217" s="56"/>
      <c r="X217" s="57"/>
      <c r="Y217" s="51"/>
    </row>
    <row r="218" customFormat="false" ht="15" hidden="false" customHeight="false" outlineLevel="0" collapsed="false">
      <c r="A218" s="58" t="n">
        <v>72</v>
      </c>
      <c r="B218" s="58" t="s">
        <v>288</v>
      </c>
      <c r="C218" s="58" t="s">
        <v>292</v>
      </c>
      <c r="D218" s="59" t="n">
        <v>74</v>
      </c>
      <c r="E218" s="59" t="n">
        <v>5</v>
      </c>
      <c r="F218" s="60" t="n">
        <v>48.24</v>
      </c>
      <c r="G218" s="60" t="n">
        <v>0.33</v>
      </c>
      <c r="H218" s="61" t="n">
        <v>9.9830512165</v>
      </c>
      <c r="I218" s="62" t="n">
        <f aca="false">H218</f>
        <v>9.9830512165</v>
      </c>
      <c r="J218" s="62" t="n">
        <f aca="false">10+LOG10(SIN(RADIANS(D218+E218/60+F218/3600)))</f>
        <v>9.98305121654881</v>
      </c>
      <c r="K218" s="63" t="n">
        <f aca="false">(I218-J218)*10000000000</f>
        <v>-0.488089568762007</v>
      </c>
      <c r="L218" s="64" t="s">
        <v>100</v>
      </c>
      <c r="M218" s="64"/>
      <c r="N218" s="61" t="n">
        <v>4.0710178901</v>
      </c>
      <c r="O218" s="65" t="n">
        <f aca="false">O220+I218-I220</f>
        <v>4.07101788979999</v>
      </c>
      <c r="P218" s="66" t="n">
        <f aca="false">IF(N218="","",(O218-N218)*10000000000)</f>
        <v>-3.00012459319987</v>
      </c>
      <c r="Q218" s="59" t="n">
        <v>0.05</v>
      </c>
      <c r="R218" s="62" t="n">
        <f aca="false">I218-COS(RADIANS(D218+E218/60+F218/3600))/SIN(RADIANS(D218+E218/60+F218/3600))*RADIANS(Q218/3600)/LN(10)</f>
        <v>9.98305118650487</v>
      </c>
      <c r="S218" s="65" t="n">
        <f aca="false">S220+R218-R220</f>
        <v>4.07101209351318</v>
      </c>
      <c r="T218" s="65" t="n">
        <f aca="false">T220+J218-J220</f>
        <v>4.07101675337464</v>
      </c>
      <c r="U218" s="67" t="n">
        <f aca="false">Summary!$C$6*ASIN(10^O218/Summary!$C$6)</f>
        <v>11776.5703377389</v>
      </c>
      <c r="V218" s="68" t="n">
        <v>11776.5704</v>
      </c>
      <c r="W218" s="69" t="n">
        <f aca="false">IF(V218="","",(V218-U218)*Summary!$C$7*1000)</f>
        <v>0.121349205718785</v>
      </c>
      <c r="X218" s="70" t="n">
        <f aca="false">U218*Summary!$C$7</f>
        <v>22952.9665104828</v>
      </c>
      <c r="Y218" s="71" t="n">
        <f aca="false">(D218+D219+D220-180)*3600+(E218+E219+E220)*60+F218+F219+F220-(G218+G219+G220)</f>
        <v>0</v>
      </c>
    </row>
    <row r="219" customFormat="false" ht="15" hidden="false" customHeight="false" outlineLevel="0" collapsed="false">
      <c r="A219" s="58" t="n">
        <v>72</v>
      </c>
      <c r="B219" s="58" t="s">
        <v>291</v>
      </c>
      <c r="C219" s="58" t="s">
        <v>293</v>
      </c>
      <c r="D219" s="59" t="n">
        <v>55</v>
      </c>
      <c r="E219" s="59" t="n">
        <v>25</v>
      </c>
      <c r="F219" s="60" t="n">
        <v>0.79</v>
      </c>
      <c r="G219" s="60" t="n">
        <v>0.27</v>
      </c>
      <c r="H219" s="61" t="n">
        <v>9.9155600601</v>
      </c>
      <c r="I219" s="62" t="n">
        <f aca="false">H219</f>
        <v>9.9155600601</v>
      </c>
      <c r="J219" s="62" t="n">
        <f aca="false">10+LOG10(SIN(RADIANS(D219+E219/60+F219/3600)))</f>
        <v>9.91556006015337</v>
      </c>
      <c r="K219" s="63" t="n">
        <f aca="false">(I219-J219)*10000000000</f>
        <v>-0.533653121692623</v>
      </c>
      <c r="L219" s="64" t="s">
        <v>100</v>
      </c>
      <c r="M219" s="64"/>
      <c r="N219" s="61" t="n">
        <v>4.0035267338</v>
      </c>
      <c r="O219" s="65" t="n">
        <f aca="false">O220+I219-I220</f>
        <v>4.00352673339999</v>
      </c>
      <c r="P219" s="66" t="n">
        <f aca="false">IF(N219="","",(O219-N219)*10000000000)</f>
        <v>-4.00011579415605</v>
      </c>
      <c r="Q219" s="59" t="n">
        <v>0.05</v>
      </c>
      <c r="R219" s="62" t="n">
        <f aca="false">I219-COS(RADIANS(D219+E219/60+F219/3600))/SIN(RADIANS(D219+E219/60+F219/3600))*RADIANS(Q219/3600)/LN(10)</f>
        <v>9.91555998752077</v>
      </c>
      <c r="S219" s="65" t="n">
        <f aca="false">S220+R219-R220</f>
        <v>4.00352089452908</v>
      </c>
      <c r="T219" s="65" t="n">
        <f aca="false">T220+J219-J220</f>
        <v>4.0035255969792</v>
      </c>
      <c r="U219" s="67" t="n">
        <f aca="false">Summary!$C$6*ASIN(10^O219/Summary!$C$6)</f>
        <v>10081.5526533009</v>
      </c>
      <c r="V219" s="68" t="n">
        <v>10081.5527</v>
      </c>
      <c r="W219" s="69" t="n">
        <f aca="false">IF(V219="","",(V219-U219)*Summary!$C$7*1000)</f>
        <v>0.0910182911054367</v>
      </c>
      <c r="X219" s="70" t="n">
        <f aca="false">U219*Summary!$C$7</f>
        <v>19649.3150202942</v>
      </c>
      <c r="Y219" s="64"/>
    </row>
    <row r="220" customFormat="false" ht="15" hidden="false" customHeight="false" outlineLevel="0" collapsed="false">
      <c r="A220" s="72" t="n">
        <v>72</v>
      </c>
      <c r="B220" s="72" t="s">
        <v>294</v>
      </c>
      <c r="C220" s="72" t="s">
        <v>289</v>
      </c>
      <c r="D220" s="73" t="n">
        <v>50</v>
      </c>
      <c r="E220" s="73" t="n">
        <v>29</v>
      </c>
      <c r="F220" s="74" t="n">
        <v>11.83</v>
      </c>
      <c r="G220" s="74" t="n">
        <v>0.26</v>
      </c>
      <c r="H220" s="75" t="n">
        <v>9.887322429</v>
      </c>
      <c r="I220" s="76" t="n">
        <f aca="false">H220</f>
        <v>9.887322429</v>
      </c>
      <c r="J220" s="76" t="n">
        <f aca="false">10+LOG10(SIN(RADIANS(D220+E220/60+F220/3600)))</f>
        <v>9.8873224290514</v>
      </c>
      <c r="K220" s="77" t="n">
        <f aca="false">(I220-J220)*10000000000</f>
        <v>-0.513971087912069</v>
      </c>
      <c r="L220" s="78" t="s">
        <v>103</v>
      </c>
      <c r="M220" s="78" t="n">
        <v>71</v>
      </c>
      <c r="N220" s="79"/>
      <c r="O220" s="79" t="n">
        <f aca="false">O215</f>
        <v>3.97528910229999</v>
      </c>
      <c r="P220" s="80"/>
      <c r="Q220" s="73" t="n">
        <v>-0.1</v>
      </c>
      <c r="R220" s="76" t="n">
        <f aca="false">I220-COS(RADIANS(D220+E220/60+F220/3600))/SIN(RADIANS(D220+E220/60+F220/3600))*RADIANS(Q220/3600)/LN(10)</f>
        <v>9.8873226026482</v>
      </c>
      <c r="S220" s="79" t="n">
        <f aca="false">S215</f>
        <v>3.97528350965651</v>
      </c>
      <c r="T220" s="79" t="n">
        <f aca="false">T215</f>
        <v>3.97528796587723</v>
      </c>
      <c r="U220" s="81"/>
      <c r="V220" s="81"/>
      <c r="W220" s="82"/>
      <c r="X220" s="83"/>
      <c r="Y220" s="78"/>
    </row>
    <row r="221" customFormat="false" ht="15" hidden="false" customHeight="false" outlineLevel="0" collapsed="false">
      <c r="A221" s="5" t="n">
        <v>73</v>
      </c>
      <c r="B221" s="5" t="s">
        <v>288</v>
      </c>
      <c r="C221" s="5" t="s">
        <v>295</v>
      </c>
      <c r="D221" s="38" t="n">
        <v>37</v>
      </c>
      <c r="E221" s="38" t="n">
        <v>28</v>
      </c>
      <c r="F221" s="30" t="n">
        <v>27.45</v>
      </c>
      <c r="G221" s="30" t="n">
        <v>0.17</v>
      </c>
      <c r="H221" s="16" t="n">
        <v>9.7841930552</v>
      </c>
      <c r="I221" s="12" t="n">
        <f aca="false">H221</f>
        <v>9.7841930552</v>
      </c>
      <c r="J221" s="12" t="n">
        <f aca="false">10+LOG10(SIN(RADIANS(D221+E221/60+F221/3600)))</f>
        <v>9.78419305577596</v>
      </c>
      <c r="K221" s="25" t="n">
        <f aca="false">(I221-J221)*10000000000</f>
        <v>-5.7595883617978</v>
      </c>
      <c r="L221" s="39" t="s">
        <v>100</v>
      </c>
      <c r="N221" s="16" t="n">
        <v>3.9040001366</v>
      </c>
      <c r="O221" s="40" t="n">
        <f aca="false">O223+I221-I223</f>
        <v>3.90400013619999</v>
      </c>
      <c r="P221" s="41" t="n">
        <f aca="false">IF(N221="","",(O221-N221)*10000000000)</f>
        <v>-4.00012023504814</v>
      </c>
      <c r="Q221" s="38" t="n">
        <v>0.05</v>
      </c>
      <c r="R221" s="12" t="n">
        <f aca="false">I221-COS(RADIANS(D221+E221/60+F221/3600))/SIN(RADIANS(D221+E221/60+F221/3600))*RADIANS(Q221/3600)/LN(10)</f>
        <v>9.78419291787417</v>
      </c>
      <c r="S221" s="40" t="n">
        <f aca="false">S223+R221-R223</f>
        <v>3.90399398280328</v>
      </c>
      <c r="T221" s="40" t="n">
        <f aca="false">T223+J221-J223</f>
        <v>3.90399900022378</v>
      </c>
      <c r="U221" s="42" t="n">
        <f aca="false">Summary!$C$6*ASIN(10^O221/Summary!$C$6)</f>
        <v>8016.79119349193</v>
      </c>
      <c r="V221" s="15" t="n">
        <v>8016.7912</v>
      </c>
      <c r="W221" s="43" t="n">
        <f aca="false">IF(V221="","",(V221-U221)*Summary!$C$7*1000)</f>
        <v>0.0126844742997664</v>
      </c>
      <c r="X221" s="44" t="n">
        <f aca="false">U221*Summary!$C$7</f>
        <v>15625.0193824328</v>
      </c>
      <c r="Y221" s="26" t="n">
        <f aca="false">(D221+D222+D223-180)*3600+(E221+E222+E223)*60+F221+F222+F223-(G221+G222+G223)</f>
        <v>3.10862446895044E-015</v>
      </c>
    </row>
    <row r="222" customFormat="false" ht="15" hidden="false" customHeight="false" outlineLevel="0" collapsed="false">
      <c r="A222" s="5" t="n">
        <v>73</v>
      </c>
      <c r="B222" s="5" t="s">
        <v>294</v>
      </c>
      <c r="C222" s="5" t="s">
        <v>296</v>
      </c>
      <c r="D222" s="38" t="n">
        <v>92</v>
      </c>
      <c r="E222" s="38" t="n">
        <v>36</v>
      </c>
      <c r="F222" s="30" t="n">
        <v>35.3</v>
      </c>
      <c r="G222" s="30" t="n">
        <v>0.42</v>
      </c>
      <c r="H222" s="16" t="n">
        <v>9.9995493123</v>
      </c>
      <c r="I222" s="12" t="n">
        <f aca="false">H222</f>
        <v>9.9995493123</v>
      </c>
      <c r="J222" s="12" t="n">
        <f aca="false">10+LOG10(SIN(RADIANS(D222+E222/60+F222/3600)))</f>
        <v>9.9995493124223</v>
      </c>
      <c r="K222" s="25" t="n">
        <f aca="false">(I222-J222)*10000000000</f>
        <v>-1.22302168392707</v>
      </c>
      <c r="L222" s="39" t="s">
        <v>100</v>
      </c>
      <c r="N222" s="16" t="n">
        <v>4.1193563936</v>
      </c>
      <c r="O222" s="40" t="n">
        <f aca="false">O223+I222-I223</f>
        <v>4.11935639329999</v>
      </c>
      <c r="P222" s="41" t="n">
        <f aca="false">IF(N222="","",(O222-N222)*10000000000)</f>
        <v>-3.00012459319987</v>
      </c>
      <c r="Q222" s="38" t="n">
        <v>0.05</v>
      </c>
      <c r="R222" s="12" t="n">
        <f aca="false">I222-COS(RADIANS(D222+E222/60+F222/3600))/SIN(RADIANS(D222+E222/60+F222/3600))*RADIANS(Q222/3600)/LN(10)</f>
        <v>9.99954931709861</v>
      </c>
      <c r="S222" s="40" t="n">
        <f aca="false">S223+R222-R223</f>
        <v>4.11935038202771</v>
      </c>
      <c r="T222" s="40" t="n">
        <f aca="false">T223+J222-J223</f>
        <v>4.11935525687012</v>
      </c>
      <c r="U222" s="42" t="n">
        <f aca="false">Summary!$C$6*ASIN(10^O222/Summary!$C$6)</f>
        <v>13163.0814413401</v>
      </c>
      <c r="V222" s="15" t="n">
        <v>13163.0814</v>
      </c>
      <c r="W222" s="43" t="n">
        <f aca="false">IF(V222="","",(V222-U222)*Summary!$C$7*1000)</f>
        <v>-0.0805733629099318</v>
      </c>
      <c r="X222" s="44" t="n">
        <f aca="false">U222*Summary!$C$7</f>
        <v>25655.3273859057</v>
      </c>
    </row>
    <row r="223" customFormat="false" ht="15" hidden="false" customHeight="false" outlineLevel="0" collapsed="false">
      <c r="A223" s="45" t="n">
        <v>73</v>
      </c>
      <c r="B223" s="45" t="s">
        <v>297</v>
      </c>
      <c r="C223" s="45" t="s">
        <v>293</v>
      </c>
      <c r="D223" s="46" t="n">
        <v>49</v>
      </c>
      <c r="E223" s="46" t="n">
        <v>54</v>
      </c>
      <c r="F223" s="47" t="n">
        <v>58.02</v>
      </c>
      <c r="G223" s="47" t="n">
        <v>0.18</v>
      </c>
      <c r="H223" s="48" t="n">
        <v>9.8837196524</v>
      </c>
      <c r="I223" s="49" t="n">
        <f aca="false">H223</f>
        <v>9.8837196524</v>
      </c>
      <c r="J223" s="49" t="n">
        <f aca="false">10+LOG10(SIN(RADIANS(D223+E223/60+F223/3600)))</f>
        <v>9.88371965253138</v>
      </c>
      <c r="K223" s="50" t="n">
        <f aca="false">(I223-J223)*10000000000</f>
        <v>-1.31379351842043</v>
      </c>
      <c r="L223" s="51" t="s">
        <v>103</v>
      </c>
      <c r="M223" s="51" t="n">
        <v>72</v>
      </c>
      <c r="N223" s="52"/>
      <c r="O223" s="52" t="n">
        <f aca="false">O219</f>
        <v>4.00352673339999</v>
      </c>
      <c r="P223" s="53"/>
      <c r="Q223" s="46" t="n">
        <v>-0.1</v>
      </c>
      <c r="R223" s="49" t="n">
        <f aca="false">I223-COS(RADIANS(D223+E223/60+F223/3600))/SIN(RADIANS(D223+E223/60+F223/3600))*RADIANS(Q223/3600)/LN(10)</f>
        <v>9.88371982959997</v>
      </c>
      <c r="S223" s="52" t="n">
        <f aca="false">S219</f>
        <v>4.00352089452908</v>
      </c>
      <c r="T223" s="52" t="n">
        <f aca="false">T219</f>
        <v>4.0035255969792</v>
      </c>
      <c r="U223" s="54"/>
      <c r="V223" s="54"/>
      <c r="W223" s="56"/>
      <c r="X223" s="57"/>
      <c r="Y223" s="51"/>
    </row>
    <row r="224" customFormat="false" ht="15" hidden="false" customHeight="false" outlineLevel="0" collapsed="false">
      <c r="A224" s="58" t="n">
        <v>74</v>
      </c>
      <c r="B224" s="58" t="s">
        <v>294</v>
      </c>
      <c r="C224" s="58" t="s">
        <v>298</v>
      </c>
      <c r="D224" s="59" t="n">
        <v>60</v>
      </c>
      <c r="E224" s="59" t="n">
        <v>16</v>
      </c>
      <c r="F224" s="60" t="n">
        <v>9</v>
      </c>
      <c r="G224" s="60" t="n">
        <v>0.26</v>
      </c>
      <c r="H224" s="61" t="n">
        <v>9.938702191</v>
      </c>
      <c r="I224" s="62" t="n">
        <f aca="false">H224</f>
        <v>9.938702191</v>
      </c>
      <c r="J224" s="62" t="n">
        <f aca="false">10+LOG10(SIN(RADIANS(D224+E224/60+F224/3600)))</f>
        <v>9.93870219107463</v>
      </c>
      <c r="K224" s="63" t="n">
        <f aca="false">(I224-J224)*10000000000</f>
        <v>-0.746318562505621</v>
      </c>
      <c r="L224" s="64" t="s">
        <v>100</v>
      </c>
      <c r="M224" s="64"/>
      <c r="N224" s="61" t="n">
        <v>4.0450217011</v>
      </c>
      <c r="O224" s="65" t="n">
        <f aca="false">O226+I224-I226</f>
        <v>4.04502170079999</v>
      </c>
      <c r="P224" s="66" t="n">
        <f aca="false">IF(N224="","",(O224-N224)*10000000000)</f>
        <v>-3.00010682963148</v>
      </c>
      <c r="Q224" s="59" t="n">
        <v>0.05</v>
      </c>
      <c r="R224" s="62" t="n">
        <f aca="false">I224-COS(RADIANS(D224+E224/60+F224/3600))/SIN(RADIANS(D224+E224/60+F224/3600))*RADIANS(Q224/3600)/LN(10)</f>
        <v>9.93870213087655</v>
      </c>
      <c r="S224" s="65" t="n">
        <f aca="false">S226+R224-R226</f>
        <v>4.04501522608851</v>
      </c>
      <c r="T224" s="65" t="n">
        <f aca="false">T226+J224-J226</f>
        <v>4.04502056440225</v>
      </c>
      <c r="U224" s="67" t="n">
        <f aca="false">Summary!$C$6*ASIN(10^O224/Summary!$C$6)</f>
        <v>11092.3237098789</v>
      </c>
      <c r="V224" s="68" t="n">
        <v>11092.3237</v>
      </c>
      <c r="W224" s="69" t="n">
        <f aca="false">IF(V224="","",(V224-U224)*Summary!$C$7*1000)</f>
        <v>-0.019254402427408</v>
      </c>
      <c r="X224" s="70" t="n">
        <f aca="false">U224*Summary!$C$7</f>
        <v>21619.3447951816</v>
      </c>
      <c r="Y224" s="71" t="n">
        <f aca="false">(D224+D225+D226-180)*3600+(E224+E225+E226)*60+F224+F225+F226-(G224+G225+G226)</f>
        <v>0</v>
      </c>
    </row>
    <row r="225" customFormat="false" ht="15" hidden="false" customHeight="false" outlineLevel="0" collapsed="false">
      <c r="A225" s="58" t="n">
        <v>74</v>
      </c>
      <c r="B225" s="58" t="s">
        <v>297</v>
      </c>
      <c r="C225" s="58" t="s">
        <v>299</v>
      </c>
      <c r="D225" s="59" t="n">
        <v>80</v>
      </c>
      <c r="E225" s="59" t="n">
        <v>51</v>
      </c>
      <c r="F225" s="60" t="n">
        <v>28.93</v>
      </c>
      <c r="G225" s="60" t="n">
        <v>0.34</v>
      </c>
      <c r="H225" s="61" t="n">
        <v>9.9944481277</v>
      </c>
      <c r="I225" s="62" t="n">
        <f aca="false">H225</f>
        <v>9.9944481277</v>
      </c>
      <c r="J225" s="62" t="n">
        <f aca="false">10+LOG10(SIN(RADIANS(D225+E225/60+F225/3600)))</f>
        <v>9.99444812778873</v>
      </c>
      <c r="K225" s="63" t="n">
        <f aca="false">(I225-J225)*10000000000</f>
        <v>-0.887254714143637</v>
      </c>
      <c r="L225" s="64" t="s">
        <v>100</v>
      </c>
      <c r="M225" s="64"/>
      <c r="N225" s="61" t="n">
        <v>4.1007676379</v>
      </c>
      <c r="O225" s="65" t="n">
        <f aca="false">O226+I225-I226</f>
        <v>4.10076763749999</v>
      </c>
      <c r="P225" s="66" t="n">
        <f aca="false">IF(N225="","",(O225-N225)*10000000000)</f>
        <v>-4.00011579415605</v>
      </c>
      <c r="Q225" s="59" t="n">
        <v>0.05</v>
      </c>
      <c r="R225" s="62" t="n">
        <f aca="false">I225-COS(RADIANS(D225+E225/60+F225/3600))/SIN(RADIANS(D225+E225/60+F225/3600))*RADIANS(Q225/3600)/LN(10)</f>
        <v>9.99444811075843</v>
      </c>
      <c r="S225" s="65" t="n">
        <f aca="false">S226+R225-R226</f>
        <v>4.1007612059704</v>
      </c>
      <c r="T225" s="65" t="n">
        <f aca="false">T226+J225-J226</f>
        <v>4.10076650111634</v>
      </c>
      <c r="U225" s="67" t="n">
        <f aca="false">Summary!$C$6*ASIN(10^O225/Summary!$C$6)</f>
        <v>12611.5572622985</v>
      </c>
      <c r="V225" s="68" t="n">
        <v>12611.5573</v>
      </c>
      <c r="W225" s="69" t="n">
        <f aca="false">IF(V225="","",(V225-U225)*Summary!$C$7*1000)</f>
        <v>0.0734816072469814</v>
      </c>
      <c r="X225" s="70" t="n">
        <f aca="false">U225*Summary!$C$7</f>
        <v>24580.3865798633</v>
      </c>
      <c r="Y225" s="64"/>
    </row>
    <row r="226" customFormat="false" ht="15" hidden="false" customHeight="false" outlineLevel="0" collapsed="false">
      <c r="A226" s="72" t="n">
        <v>74</v>
      </c>
      <c r="B226" s="72" t="s">
        <v>300</v>
      </c>
      <c r="C226" s="72" t="s">
        <v>295</v>
      </c>
      <c r="D226" s="73" t="n">
        <v>38</v>
      </c>
      <c r="E226" s="73" t="n">
        <v>52</v>
      </c>
      <c r="F226" s="74" t="n">
        <v>22.91</v>
      </c>
      <c r="G226" s="74" t="n">
        <v>0.24</v>
      </c>
      <c r="H226" s="75" t="n">
        <v>9.7976806264</v>
      </c>
      <c r="I226" s="76" t="n">
        <f aca="false">H226</f>
        <v>9.7976806264</v>
      </c>
      <c r="J226" s="76" t="n">
        <f aca="false">10+LOG10(SIN(RADIANS(D226+E226/60+F226/3600)))</f>
        <v>9.79768062689616</v>
      </c>
      <c r="K226" s="77" t="n">
        <f aca="false">(I226-J226)*10000000000</f>
        <v>-4.96163110597081</v>
      </c>
      <c r="L226" s="78" t="s">
        <v>103</v>
      </c>
      <c r="M226" s="78" t="n">
        <v>73</v>
      </c>
      <c r="N226" s="79"/>
      <c r="O226" s="79" t="n">
        <f aca="false">O221</f>
        <v>3.90400013619999</v>
      </c>
      <c r="P226" s="80"/>
      <c r="Q226" s="73" t="n">
        <v>-0.1</v>
      </c>
      <c r="R226" s="76" t="n">
        <f aca="false">I226-COS(RADIANS(D226+E226/60+F226/3600))/SIN(RADIANS(D226+E226/60+F226/3600))*RADIANS(Q226/3600)/LN(10)</f>
        <v>9.79768088759131</v>
      </c>
      <c r="S226" s="79" t="n">
        <f aca="false">S221</f>
        <v>3.90399398280328</v>
      </c>
      <c r="T226" s="79" t="n">
        <f aca="false">T221</f>
        <v>3.90399900022378</v>
      </c>
      <c r="U226" s="81"/>
      <c r="V226" s="81"/>
      <c r="W226" s="82"/>
      <c r="X226" s="83"/>
      <c r="Y226" s="78"/>
    </row>
    <row r="227" customFormat="false" ht="15" hidden="false" customHeight="false" outlineLevel="0" collapsed="false">
      <c r="A227" s="5" t="n">
        <v>75</v>
      </c>
      <c r="B227" s="5" t="s">
        <v>294</v>
      </c>
      <c r="C227" s="5" t="s">
        <v>301</v>
      </c>
      <c r="D227" s="38" t="n">
        <v>33</v>
      </c>
      <c r="E227" s="38" t="n">
        <v>18</v>
      </c>
      <c r="F227" s="30" t="n">
        <v>2.32</v>
      </c>
      <c r="G227" s="30" t="n">
        <v>0.1</v>
      </c>
      <c r="H227" s="16" t="n">
        <v>9.7395978306</v>
      </c>
      <c r="I227" s="12" t="n">
        <f aca="false">H227</f>
        <v>9.7395978306</v>
      </c>
      <c r="J227" s="12" t="n">
        <f aca="false">10+LOG10(SIN(RADIANS(D227+E227/60+F227/3600)))</f>
        <v>9.73959783089884</v>
      </c>
      <c r="K227" s="25" t="n">
        <f aca="false">(I227-J227)*10000000000</f>
        <v>-2.98836511092304</v>
      </c>
      <c r="L227" s="39" t="s">
        <v>100</v>
      </c>
      <c r="N227" s="16" t="n">
        <v>4.11877716</v>
      </c>
      <c r="O227" s="40" t="n">
        <f aca="false">O229+I227-I229</f>
        <v>4.11877715959999</v>
      </c>
      <c r="P227" s="41" t="n">
        <f aca="false">IF(N227="","",(O227-N227)*10000000000)</f>
        <v>-4.00011579415605</v>
      </c>
      <c r="Q227" s="38" t="n">
        <v>0.05</v>
      </c>
      <c r="R227" s="12" t="n">
        <f aca="false">I227-COS(RADIANS(D227+E227/60+F227/3600))/SIN(RADIANS(D227+E227/60+F227/3600))*RADIANS(Q227/3600)/LN(10)</f>
        <v>9.73959767033661</v>
      </c>
      <c r="S227" s="40" t="n">
        <f aca="false">S229+R227-R229</f>
        <v>4.1187702280203</v>
      </c>
      <c r="T227" s="40" t="n">
        <f aca="false">T229+J227-J229</f>
        <v>4.11877602295627</v>
      </c>
      <c r="U227" s="42" t="n">
        <f aca="false">Summary!$C$6*ASIN(10^O227/Summary!$C$6)</f>
        <v>13145.5369880694</v>
      </c>
      <c r="V227" s="15" t="n">
        <v>13145.537</v>
      </c>
      <c r="W227" s="43" t="n">
        <f aca="false">IF(V227="","",(V227-U227)*Summary!$C$7*1000)</f>
        <v>0.023253109615027</v>
      </c>
      <c r="X227" s="44" t="n">
        <f aca="false">U227*Summary!$C$7</f>
        <v>25621.1326045035</v>
      </c>
      <c r="Y227" s="26" t="n">
        <f aca="false">(D227+D228+D229-180)*3600+(E227+E228+E229)*60+F227+F228+F229-(G227+G228+G229)</f>
        <v>0</v>
      </c>
    </row>
    <row r="228" customFormat="false" ht="15" hidden="false" customHeight="false" outlineLevel="0" collapsed="false">
      <c r="A228" s="5" t="n">
        <v>75</v>
      </c>
      <c r="B228" s="5" t="s">
        <v>300</v>
      </c>
      <c r="C228" s="5" t="s">
        <v>302</v>
      </c>
      <c r="D228" s="38" t="n">
        <v>114</v>
      </c>
      <c r="E228" s="38" t="n">
        <v>54</v>
      </c>
      <c r="F228" s="30" t="n">
        <v>53.89</v>
      </c>
      <c r="G228" s="30" t="n">
        <v>1.26</v>
      </c>
      <c r="H228" s="16" t="n">
        <v>9.9575756742</v>
      </c>
      <c r="I228" s="12" t="n">
        <f aca="false">H228</f>
        <v>9.9575756742</v>
      </c>
      <c r="J228" s="12" t="n">
        <f aca="false">10+LOG10(SIN(RADIANS(D228+E228/60+F228/3600)))</f>
        <v>9.95757567432454</v>
      </c>
      <c r="K228" s="25" t="n">
        <f aca="false">(I228-J228)*10000000000</f>
        <v>-1.24538601653512</v>
      </c>
      <c r="L228" s="39" t="s">
        <v>100</v>
      </c>
      <c r="N228" s="16" t="n">
        <v>4.3367550036</v>
      </c>
      <c r="O228" s="40" t="n">
        <f aca="false">O229+I228-I229</f>
        <v>4.33675500319999</v>
      </c>
      <c r="P228" s="41" t="n">
        <f aca="false">IF(N228="","",(O228-N228)*10000000000)</f>
        <v>-4.00012467594024</v>
      </c>
      <c r="Q228" s="38" t="n">
        <v>0.05</v>
      </c>
      <c r="R228" s="12" t="n">
        <f aca="false">I228-COS(RADIANS(D228+E228/60+F228/3600))/SIN(RADIANS(D228+E228/60+F228/3600))*RADIANS(Q228/3600)/LN(10)</f>
        <v>9.95757572310091</v>
      </c>
      <c r="S228" s="40" t="n">
        <f aca="false">S229+R228-R229</f>
        <v>4.3367482807846</v>
      </c>
      <c r="T228" s="40" t="n">
        <f aca="false">T229+J228-J229</f>
        <v>4.33675386638197</v>
      </c>
      <c r="U228" s="42" t="n">
        <f aca="false">Summary!$C$6*ASIN(10^O228/Summary!$C$6)</f>
        <v>21714.9183638768</v>
      </c>
      <c r="V228" s="15" t="n">
        <v>21714.9189</v>
      </c>
      <c r="W228" s="43" t="n">
        <f aca="false">IF(V228="","",(V228-U228)*Summary!$C$7*1000)</f>
        <v>1.04492365578134</v>
      </c>
      <c r="X228" s="44" t="n">
        <f aca="false">U228*Summary!$C$7</f>
        <v>42323.1704723661</v>
      </c>
    </row>
    <row r="229" customFormat="false" ht="15" hidden="false" customHeight="false" outlineLevel="0" collapsed="false">
      <c r="A229" s="45" t="n">
        <v>75</v>
      </c>
      <c r="B229" s="45" t="s">
        <v>303</v>
      </c>
      <c r="C229" s="45" t="s">
        <v>299</v>
      </c>
      <c r="D229" s="46" t="n">
        <v>31</v>
      </c>
      <c r="E229" s="46" t="n">
        <v>47</v>
      </c>
      <c r="F229" s="47" t="n">
        <v>5.28</v>
      </c>
      <c r="G229" s="47" t="n">
        <v>0.13</v>
      </c>
      <c r="H229" s="48" t="n">
        <v>9.7215883085</v>
      </c>
      <c r="I229" s="49" t="n">
        <f aca="false">H229</f>
        <v>9.7215883085</v>
      </c>
      <c r="J229" s="49" t="n">
        <f aca="false">10+LOG10(SIN(RADIANS(D229+E229/60+F229/3600)))</f>
        <v>9.7215883090589</v>
      </c>
      <c r="K229" s="50" t="n">
        <f aca="false">(I229-J229)*10000000000</f>
        <v>-5.58902257807858</v>
      </c>
      <c r="L229" s="51" t="s">
        <v>103</v>
      </c>
      <c r="M229" s="51" t="n">
        <v>74</v>
      </c>
      <c r="N229" s="52"/>
      <c r="O229" s="52" t="n">
        <f aca="false">O225</f>
        <v>4.10076763749999</v>
      </c>
      <c r="P229" s="53"/>
      <c r="Q229" s="46" t="n">
        <v>-0.1</v>
      </c>
      <c r="R229" s="49" t="n">
        <f aca="false">I229-COS(RADIANS(D229+E229/60+F229/3600))/SIN(RADIANS(D229+E229/60+F229/3600))*RADIANS(Q229/3600)/LN(10)</f>
        <v>9.7215886482867</v>
      </c>
      <c r="S229" s="52" t="n">
        <f aca="false">S225</f>
        <v>4.1007612059704</v>
      </c>
      <c r="T229" s="52" t="n">
        <f aca="false">T225</f>
        <v>4.10076650111634</v>
      </c>
      <c r="U229" s="54"/>
      <c r="V229" s="54"/>
      <c r="W229" s="56"/>
      <c r="X229" s="57"/>
      <c r="Y229" s="51"/>
    </row>
    <row r="230" customFormat="false" ht="15" hidden="false" customHeight="false" outlineLevel="0" collapsed="false">
      <c r="A230" s="58" t="n">
        <v>76</v>
      </c>
      <c r="B230" s="58" t="s">
        <v>300</v>
      </c>
      <c r="C230" s="58" t="s">
        <v>304</v>
      </c>
      <c r="D230" s="59" t="n">
        <v>56</v>
      </c>
      <c r="E230" s="59" t="n">
        <v>19</v>
      </c>
      <c r="F230" s="60" t="n">
        <v>32.95</v>
      </c>
      <c r="G230" s="60" t="n">
        <v>0.61</v>
      </c>
      <c r="H230" s="61" t="n">
        <v>9.920229835</v>
      </c>
      <c r="I230" s="62" t="n">
        <f aca="false">H230</f>
        <v>9.920229835</v>
      </c>
      <c r="J230" s="62" t="n">
        <f aca="false">10+LOG10(SIN(RADIANS(D230+E230/60+F230/3600)))</f>
        <v>9.9202298352198</v>
      </c>
      <c r="K230" s="63" t="n">
        <f aca="false">(I230-J230)*10000000000</f>
        <v>-2.19802842593708</v>
      </c>
      <c r="L230" s="64" t="s">
        <v>100</v>
      </c>
      <c r="M230" s="64"/>
      <c r="N230" s="61" t="n">
        <v>4.2356419215</v>
      </c>
      <c r="O230" s="65" t="n">
        <f aca="false">O232+I230-I232</f>
        <v>4.23564192109999</v>
      </c>
      <c r="P230" s="66" t="n">
        <f aca="false">IF(N230="","",(O230-N230)*10000000000)</f>
        <v>-4.00011579415605</v>
      </c>
      <c r="Q230" s="59" t="n">
        <v>0.05</v>
      </c>
      <c r="R230" s="62" t="n">
        <f aca="false">I230-COS(RADIANS(D230+E230/60+F230/3600))/SIN(RADIANS(D230+E230/60+F230/3600))*RADIANS(Q230/3600)/LN(10)</f>
        <v>9.92022976485819</v>
      </c>
      <c r="S230" s="65" t="n">
        <f aca="false">S232+R230-R232</f>
        <v>4.23563466381492</v>
      </c>
      <c r="T230" s="65" t="n">
        <f aca="false">T232+J230-J232</f>
        <v>4.23564078429973</v>
      </c>
      <c r="U230" s="67" t="n">
        <f aca="false">Summary!$C$6*ASIN(10^O230/Summary!$C$6)</f>
        <v>17204.5741924</v>
      </c>
      <c r="V230" s="68" t="n">
        <v>17204.5742</v>
      </c>
      <c r="W230" s="69" t="n">
        <f aca="false">IF(V230="","",(V230-U230)*Summary!$C$7*1000)</f>
        <v>0.0148127483430235</v>
      </c>
      <c r="X230" s="70" t="n">
        <f aca="false">U230*Summary!$C$7</f>
        <v>33532.344641954</v>
      </c>
      <c r="Y230" s="71" t="n">
        <f aca="false">(D230+D231+D232-180)*3600+(E230+E231+E232)*60+F230+F231+F232-(G230+G231+G232)</f>
        <v>0</v>
      </c>
    </row>
    <row r="231" customFormat="false" ht="15" hidden="false" customHeight="false" outlineLevel="0" collapsed="false">
      <c r="A231" s="58" t="n">
        <v>76</v>
      </c>
      <c r="B231" s="58" t="s">
        <v>303</v>
      </c>
      <c r="C231" s="58" t="s">
        <v>305</v>
      </c>
      <c r="D231" s="59" t="n">
        <v>84</v>
      </c>
      <c r="E231" s="59" t="n">
        <v>11</v>
      </c>
      <c r="F231" s="60" t="n">
        <v>26.13</v>
      </c>
      <c r="G231" s="60" t="n">
        <v>0.98</v>
      </c>
      <c r="H231" s="61" t="n">
        <v>9.9977637599</v>
      </c>
      <c r="I231" s="62" t="n">
        <f aca="false">H231</f>
        <v>9.9977637599</v>
      </c>
      <c r="J231" s="62" t="n">
        <f aca="false">10+LOG10(SIN(RADIANS(D231+E231/60+F231/3600)))</f>
        <v>9.99776376006717</v>
      </c>
      <c r="K231" s="63" t="n">
        <f aca="false">(I231-J231)*10000000000</f>
        <v>-1.67172942155958</v>
      </c>
      <c r="L231" s="64" t="s">
        <v>100</v>
      </c>
      <c r="M231" s="64"/>
      <c r="N231" s="61" t="n">
        <v>4.3131758461</v>
      </c>
      <c r="O231" s="65" t="n">
        <f aca="false">O232+I231-I232</f>
        <v>4.31317584599999</v>
      </c>
      <c r="P231" s="66" t="n">
        <f aca="false">IF(N231="","",(O231-N231)*10000000000)</f>
        <v>-1.00012442771913</v>
      </c>
      <c r="Q231" s="59" t="n">
        <v>0.05</v>
      </c>
      <c r="R231" s="62" t="n">
        <f aca="false">I231-COS(RADIANS(D231+E231/60+F231/3600))/SIN(RADIANS(D231+E231/60+F231/3600))*RADIANS(Q231/3600)/LN(10)</f>
        <v>9.99776374918899</v>
      </c>
      <c r="S231" s="65" t="n">
        <f aca="false">S232+R231-R232</f>
        <v>4.31316864814572</v>
      </c>
      <c r="T231" s="65" t="n">
        <f aca="false">T232+J231-J232</f>
        <v>4.3131747091471</v>
      </c>
      <c r="U231" s="67" t="n">
        <f aca="false">Summary!$C$6*ASIN(10^O231/Summary!$C$6)</f>
        <v>20567.3678118524</v>
      </c>
      <c r="V231" s="68" t="n">
        <v>20567.3678</v>
      </c>
      <c r="W231" s="69" t="n">
        <f aca="false">IF(V231="","",(V231-U231)*Summary!$C$7*1000)</f>
        <v>-0.0231008399718697</v>
      </c>
      <c r="X231" s="70" t="n">
        <f aca="false">U231*Summary!$C$7</f>
        <v>40086.5524558885</v>
      </c>
      <c r="Y231" s="64"/>
    </row>
    <row r="232" customFormat="false" ht="15" hidden="false" customHeight="false" outlineLevel="0" collapsed="false">
      <c r="A232" s="72" t="n">
        <v>76</v>
      </c>
      <c r="B232" s="72" t="s">
        <v>306</v>
      </c>
      <c r="C232" s="72" t="s">
        <v>301</v>
      </c>
      <c r="D232" s="73" t="n">
        <v>39</v>
      </c>
      <c r="E232" s="73" t="n">
        <v>29</v>
      </c>
      <c r="F232" s="74" t="n">
        <v>3.07</v>
      </c>
      <c r="G232" s="74" t="n">
        <v>0.56</v>
      </c>
      <c r="H232" s="75" t="n">
        <v>9.8033650735</v>
      </c>
      <c r="I232" s="76" t="n">
        <f aca="false">H232</f>
        <v>9.8033650735</v>
      </c>
      <c r="J232" s="76" t="n">
        <f aca="false">10+LOG10(SIN(RADIANS(D232+E232/60+F232/3600)))</f>
        <v>9.80336507387635</v>
      </c>
      <c r="K232" s="77" t="n">
        <f aca="false">(I232-J232)*10000000000</f>
        <v>-3.76347841779534</v>
      </c>
      <c r="L232" s="78" t="s">
        <v>103</v>
      </c>
      <c r="M232" s="78" t="n">
        <v>75</v>
      </c>
      <c r="N232" s="79"/>
      <c r="O232" s="79" t="n">
        <f aca="false">O227</f>
        <v>4.11877715959999</v>
      </c>
      <c r="P232" s="80"/>
      <c r="Q232" s="73" t="n">
        <v>-0.1</v>
      </c>
      <c r="R232" s="76" t="n">
        <f aca="false">I232-COS(RADIANS(D232+E232/60+F232/3600))/SIN(RADIANS(D232+E232/60+F232/3600))*RADIANS(Q232/3600)/LN(10)</f>
        <v>9.80336532906357</v>
      </c>
      <c r="S232" s="79" t="n">
        <f aca="false">S227</f>
        <v>4.1187702280203</v>
      </c>
      <c r="T232" s="79" t="n">
        <f aca="false">T227</f>
        <v>4.11877602295627</v>
      </c>
      <c r="U232" s="81"/>
      <c r="V232" s="81"/>
      <c r="W232" s="82"/>
      <c r="X232" s="83"/>
      <c r="Y232" s="78"/>
    </row>
    <row r="233" customFormat="false" ht="15" hidden="false" customHeight="false" outlineLevel="0" collapsed="false">
      <c r="A233" s="5" t="n">
        <v>77</v>
      </c>
      <c r="B233" s="5" t="s">
        <v>300</v>
      </c>
      <c r="C233" s="5" t="s">
        <v>307</v>
      </c>
      <c r="D233" s="38" t="n">
        <v>42</v>
      </c>
      <c r="E233" s="38" t="n">
        <v>53</v>
      </c>
      <c r="F233" s="30" t="n">
        <v>41.32</v>
      </c>
      <c r="G233" s="30" t="n">
        <v>0.56</v>
      </c>
      <c r="H233" s="16" t="n">
        <v>9.8329267355</v>
      </c>
      <c r="I233" s="12" t="n">
        <f aca="false">H233</f>
        <v>9.8329267355</v>
      </c>
      <c r="J233" s="12" t="n">
        <f aca="false">10+LOG10(SIN(RADIANS(D233+E233/60+F233/3600)))</f>
        <v>9.832926735894</v>
      </c>
      <c r="K233" s="25" t="n">
        <f aca="false">(I233-J233)*10000000000</f>
        <v>-3.93995946978976</v>
      </c>
      <c r="L233" s="39" t="s">
        <v>100</v>
      </c>
      <c r="N233" s="16" t="n">
        <v>4.1468489042</v>
      </c>
      <c r="O233" s="40" t="n">
        <f aca="false">O235+I233-I235</f>
        <v>4.14684890389999</v>
      </c>
      <c r="P233" s="41" t="n">
        <f aca="false">IF(N233="","",(O233-N233)*10000000000)</f>
        <v>-3.00013347498407</v>
      </c>
      <c r="Q233" s="38" t="n">
        <v>0.05</v>
      </c>
      <c r="R233" s="12" t="n">
        <f aca="false">I233-COS(RADIANS(D233+E233/60+F233/3600))/SIN(RADIANS(D233+E233/60+F233/3600))*RADIANS(Q233/3600)/LN(10)</f>
        <v>9.832926622189</v>
      </c>
      <c r="S233" s="40" t="n">
        <f aca="false">S235+R233-R235</f>
        <v>4.14684158038042</v>
      </c>
      <c r="T233" s="40" t="n">
        <f aca="false">T235+J233-J235</f>
        <v>4.14684776732275</v>
      </c>
      <c r="U233" s="42" t="n">
        <f aca="false">Summary!$C$6*ASIN(10^O233/Summary!$C$6)</f>
        <v>14023.3004050443</v>
      </c>
      <c r="V233" s="15" t="n">
        <v>14023.3004</v>
      </c>
      <c r="W233" s="43" t="n">
        <f aca="false">IF(V233="","",(V233-U233)*Summary!$C$7*1000)</f>
        <v>-0.00983146766061844</v>
      </c>
      <c r="X233" s="44" t="n">
        <f aca="false">U233*Summary!$C$7</f>
        <v>27331.9256228568</v>
      </c>
      <c r="Y233" s="26" t="n">
        <f aca="false">(D233+D234+D235-180)*3600+(E233+E234+E235)*60+F233+F234+F235-(G233+G234+G235)</f>
        <v>0</v>
      </c>
    </row>
    <row r="234" customFormat="false" ht="15" hidden="false" customHeight="false" outlineLevel="0" collapsed="false">
      <c r="A234" s="5" t="n">
        <v>77</v>
      </c>
      <c r="B234" s="5" t="s">
        <v>306</v>
      </c>
      <c r="C234" s="5" t="s">
        <v>308</v>
      </c>
      <c r="D234" s="38" t="n">
        <v>50</v>
      </c>
      <c r="E234" s="38" t="n">
        <v>27</v>
      </c>
      <c r="F234" s="30" t="n">
        <v>49.72</v>
      </c>
      <c r="G234" s="30" t="n">
        <v>0.57</v>
      </c>
      <c r="H234" s="16" t="n">
        <v>9.8871797885</v>
      </c>
      <c r="I234" s="12" t="n">
        <f aca="false">H234</f>
        <v>9.8871797885</v>
      </c>
      <c r="J234" s="12" t="n">
        <f aca="false">10+LOG10(SIN(RADIANS(D234+E234/60+F234/3600)))</f>
        <v>9.88717978868692</v>
      </c>
      <c r="K234" s="25" t="n">
        <f aca="false">(I234-J234)*10000000000</f>
        <v>-1.8692247749641</v>
      </c>
      <c r="L234" s="39" t="s">
        <v>100</v>
      </c>
      <c r="N234" s="16" t="n">
        <v>4.2011019573</v>
      </c>
      <c r="O234" s="40" t="n">
        <f aca="false">O235+I234-I235</f>
        <v>4.20110195689999</v>
      </c>
      <c r="P234" s="41" t="n">
        <f aca="false">IF(N234="","",(O234-N234)*10000000000)</f>
        <v>-4.00013355772444</v>
      </c>
      <c r="Q234" s="38" t="n">
        <v>0.05</v>
      </c>
      <c r="R234" s="12" t="n">
        <f aca="false">I234-COS(RADIANS(D234+E234/60+F234/3600))/SIN(RADIANS(D234+E234/60+F234/3600))*RADIANS(Q234/3600)/LN(10)</f>
        <v>9.88717970160546</v>
      </c>
      <c r="S234" s="40" t="n">
        <f aca="false">S235+R234-R235</f>
        <v>4.20109465979688</v>
      </c>
      <c r="T234" s="40" t="n">
        <f aca="false">T235+J234-J235</f>
        <v>4.20110082011568</v>
      </c>
      <c r="U234" s="42" t="n">
        <f aca="false">Summary!$C$6*ASIN(10^O234/Summary!$C$6)</f>
        <v>15889.2599077434</v>
      </c>
      <c r="V234" s="15" t="n">
        <v>15889.2599</v>
      </c>
      <c r="W234" s="43" t="n">
        <f aca="false">IF(V234="","",(V234-U234)*Summary!$C$7*1000)</f>
        <v>-0.0150921445255134</v>
      </c>
      <c r="X234" s="44" t="n">
        <f aca="false">U234*Summary!$C$7</f>
        <v>30968.7489718517</v>
      </c>
    </row>
    <row r="235" customFormat="false" ht="15" hidden="false" customHeight="false" outlineLevel="0" collapsed="false">
      <c r="A235" s="45" t="n">
        <v>77</v>
      </c>
      <c r="B235" s="45" t="s">
        <v>309</v>
      </c>
      <c r="C235" s="45" t="s">
        <v>305</v>
      </c>
      <c r="D235" s="46" t="n">
        <v>86</v>
      </c>
      <c r="E235" s="46" t="n">
        <v>38</v>
      </c>
      <c r="F235" s="47" t="n">
        <v>31.1</v>
      </c>
      <c r="G235" s="47" t="n">
        <v>1.01</v>
      </c>
      <c r="H235" s="48" t="n">
        <v>9.9992536776</v>
      </c>
      <c r="I235" s="49" t="n">
        <f aca="false">H235</f>
        <v>9.9992536776</v>
      </c>
      <c r="J235" s="49" t="n">
        <f aca="false">10+LOG10(SIN(RADIANS(D235+E235/60+F235/3600)))</f>
        <v>9.99925367771834</v>
      </c>
      <c r="K235" s="50" t="n">
        <f aca="false">(I235-J235)*10000000000</f>
        <v>-1.18340892640845</v>
      </c>
      <c r="L235" s="51" t="s">
        <v>103</v>
      </c>
      <c r="M235" s="51" t="n">
        <v>76</v>
      </c>
      <c r="N235" s="52"/>
      <c r="O235" s="52" t="n">
        <f aca="false">O231</f>
        <v>4.31317584599999</v>
      </c>
      <c r="P235" s="53"/>
      <c r="Q235" s="46" t="n">
        <v>-0.1</v>
      </c>
      <c r="R235" s="49" t="n">
        <f aca="false">I235-COS(RADIANS(D235+E235/60+F235/3600))/SIN(RADIANS(D235+E235/60+F235/3600))*RADIANS(Q235/3600)/LN(10)</f>
        <v>9.99925368995431</v>
      </c>
      <c r="S235" s="52" t="n">
        <f aca="false">S231</f>
        <v>4.31316864814572</v>
      </c>
      <c r="T235" s="52" t="n">
        <f aca="false">T231</f>
        <v>4.3131747091471</v>
      </c>
      <c r="U235" s="54"/>
      <c r="V235" s="54"/>
      <c r="W235" s="56"/>
      <c r="X235" s="57"/>
      <c r="Y235" s="51"/>
    </row>
    <row r="236" customFormat="false" ht="15" hidden="false" customHeight="false" outlineLevel="0" collapsed="false">
      <c r="A236" s="58" t="n">
        <v>78</v>
      </c>
      <c r="B236" s="58" t="s">
        <v>300</v>
      </c>
      <c r="C236" s="58" t="s">
        <v>310</v>
      </c>
      <c r="D236" s="59" t="n">
        <v>61</v>
      </c>
      <c r="E236" s="59" t="n">
        <v>12</v>
      </c>
      <c r="F236" s="60" t="n">
        <v>37.87</v>
      </c>
      <c r="G236" s="60" t="n">
        <v>0.41</v>
      </c>
      <c r="H236" s="61" t="n">
        <v>9.942699948</v>
      </c>
      <c r="I236" s="62" t="n">
        <f aca="false">H236</f>
        <v>9.942699948</v>
      </c>
      <c r="J236" s="62" t="n">
        <f aca="false">10+LOG10(SIN(RADIANS(D236+E236/60+F236/3600)))</f>
        <v>9.94269994802133</v>
      </c>
      <c r="K236" s="63" t="n">
        <f aca="false">(I236-J236)*10000000000</f>
        <v>-0.213304929275182</v>
      </c>
      <c r="L236" s="64" t="s">
        <v>100</v>
      </c>
      <c r="M236" s="64"/>
      <c r="N236" s="61" t="n">
        <v>4.1494506777</v>
      </c>
      <c r="O236" s="65" t="n">
        <f aca="false">O238+I236-I238</f>
        <v>4.14945067729999</v>
      </c>
      <c r="P236" s="66" t="n">
        <f aca="false">IF(N236="","",(O236-N236)*10000000000)</f>
        <v>-4.00013355772444</v>
      </c>
      <c r="Q236" s="59" t="n">
        <v>0.05</v>
      </c>
      <c r="R236" s="62" t="n">
        <f aca="false">I236-COS(RADIANS(D236+E236/60+F236/3600))/SIN(RADIANS(D236+E236/60+F236/3600))*RADIANS(Q236/3600)/LN(10)</f>
        <v>9.94269989014922</v>
      </c>
      <c r="S236" s="65" t="n">
        <f aca="false">S238+R236-R238</f>
        <v>4.14944328816472</v>
      </c>
      <c r="T236" s="65" t="n">
        <f aca="false">T238+J236-J238</f>
        <v>4.14944954036162</v>
      </c>
      <c r="U236" s="67" t="n">
        <f aca="false">Summary!$C$6*ASIN(10^O236/Summary!$C$6)</f>
        <v>14107.5639300303</v>
      </c>
      <c r="V236" s="68" t="n">
        <v>14107.564</v>
      </c>
      <c r="W236" s="69" t="n">
        <f aca="false">IF(V236="","",(V236-U236)*Summary!$C$7*1000)</f>
        <v>0.136373426284036</v>
      </c>
      <c r="X236" s="70" t="n">
        <f aca="false">U236*Summary!$C$7</f>
        <v>27496.1583163824</v>
      </c>
      <c r="Y236" s="71" t="n">
        <f aca="false">(D236+D237+D238-180)*3600+(E236+E237+E238)*60+F236+F237+F238-(G236+G237+G238)</f>
        <v>7.32747196252603E-015</v>
      </c>
    </row>
    <row r="237" customFormat="false" ht="15" hidden="false" customHeight="false" outlineLevel="0" collapsed="false">
      <c r="A237" s="58" t="n">
        <v>78</v>
      </c>
      <c r="B237" s="58" t="s">
        <v>309</v>
      </c>
      <c r="C237" s="58" t="s">
        <v>311</v>
      </c>
      <c r="D237" s="59" t="n">
        <v>38</v>
      </c>
      <c r="E237" s="59" t="n">
        <v>0</v>
      </c>
      <c r="F237" s="60" t="n">
        <v>39.25</v>
      </c>
      <c r="G237" s="60" t="n">
        <v>0.37</v>
      </c>
      <c r="H237" s="61" t="n">
        <v>9.7894477343</v>
      </c>
      <c r="I237" s="62" t="n">
        <f aca="false">H237</f>
        <v>9.7894477343</v>
      </c>
      <c r="J237" s="62" t="n">
        <f aca="false">10+LOG10(SIN(RADIANS(D237+E237/60+F237/3600)))</f>
        <v>9.78944773441931</v>
      </c>
      <c r="K237" s="63" t="n">
        <f aca="false">(I237-J237)*10000000000</f>
        <v>-1.19312559831997</v>
      </c>
      <c r="L237" s="64" t="s">
        <v>100</v>
      </c>
      <c r="M237" s="64"/>
      <c r="N237" s="61" t="n">
        <v>3.996198464</v>
      </c>
      <c r="O237" s="65" t="n">
        <f aca="false">O238+I237-I238</f>
        <v>3.99619846359999</v>
      </c>
      <c r="P237" s="66" t="n">
        <f aca="false">IF(N237="","",(O237-N237)*10000000000)</f>
        <v>-4.00013355772444</v>
      </c>
      <c r="Q237" s="59" t="n">
        <v>0.05</v>
      </c>
      <c r="R237" s="62" t="n">
        <f aca="false">I237-COS(RADIANS(D237+E237/60+F237/3600))/SIN(RADIANS(D237+E237/60+F237/3600))*RADIANS(Q237/3600)/LN(10)</f>
        <v>9.78944759960576</v>
      </c>
      <c r="S237" s="65" t="n">
        <f aca="false">S238+R237-R238</f>
        <v>3.99619099762126</v>
      </c>
      <c r="T237" s="65" t="n">
        <f aca="false">T238+J237-J238</f>
        <v>3.9961973267596</v>
      </c>
      <c r="U237" s="67" t="n">
        <f aca="false">Summary!$C$6*ASIN(10^O237/Summary!$C$6)</f>
        <v>9912.86359141139</v>
      </c>
      <c r="V237" s="68" t="n">
        <v>9912.8637</v>
      </c>
      <c r="W237" s="69" t="n">
        <f aca="false">IF(V237="","",(V237-U237)*Summary!$C$7*1000)</f>
        <v>0.211643168389898</v>
      </c>
      <c r="X237" s="70" t="n">
        <f aca="false">U237*Summary!$C$7</f>
        <v>19320.5338660879</v>
      </c>
      <c r="Y237" s="64"/>
    </row>
    <row r="238" customFormat="false" ht="15" hidden="false" customHeight="false" outlineLevel="0" collapsed="false">
      <c r="A238" s="72" t="n">
        <v>78</v>
      </c>
      <c r="B238" s="72" t="s">
        <v>312</v>
      </c>
      <c r="C238" s="72" t="s">
        <v>308</v>
      </c>
      <c r="D238" s="73" t="n">
        <v>80</v>
      </c>
      <c r="E238" s="73" t="n">
        <v>46</v>
      </c>
      <c r="F238" s="74" t="n">
        <v>44.2</v>
      </c>
      <c r="G238" s="74" t="n">
        <v>0.54</v>
      </c>
      <c r="H238" s="75" t="n">
        <v>9.9943512276</v>
      </c>
      <c r="I238" s="76" t="n">
        <f aca="false">H238</f>
        <v>9.9943512276</v>
      </c>
      <c r="J238" s="76" t="n">
        <f aca="false">10+LOG10(SIN(RADIANS(D238+E238/60+F238/3600)))</f>
        <v>9.99435122777539</v>
      </c>
      <c r="K238" s="77" t="n">
        <f aca="false">(I238-J238)*10000000000</f>
        <v>-1.75390368895023</v>
      </c>
      <c r="L238" s="78" t="s">
        <v>103</v>
      </c>
      <c r="M238" s="78" t="n">
        <v>77</v>
      </c>
      <c r="N238" s="79"/>
      <c r="O238" s="79" t="n">
        <f aca="false">O234</f>
        <v>4.20110195689999</v>
      </c>
      <c r="P238" s="80"/>
      <c r="Q238" s="73" t="n">
        <v>-0.1</v>
      </c>
      <c r="R238" s="76" t="n">
        <f aca="false">I238-COS(RADIANS(D238+E238/60+F238/3600))/SIN(RADIANS(D238+E238/60+F238/3600))*RADIANS(Q238/3600)/LN(10)</f>
        <v>9.99435126178138</v>
      </c>
      <c r="S238" s="79" t="n">
        <f aca="false">S234</f>
        <v>4.20109465979688</v>
      </c>
      <c r="T238" s="79" t="n">
        <f aca="false">T234</f>
        <v>4.20110082011568</v>
      </c>
      <c r="U238" s="81"/>
      <c r="V238" s="81"/>
      <c r="W238" s="82"/>
      <c r="X238" s="83"/>
      <c r="Y238" s="78"/>
    </row>
    <row r="239" customFormat="false" ht="15" hidden="false" customHeight="false" outlineLevel="0" collapsed="false">
      <c r="A239" s="5" t="n">
        <v>79</v>
      </c>
      <c r="B239" s="5" t="s">
        <v>306</v>
      </c>
      <c r="C239" s="5" t="s">
        <v>313</v>
      </c>
      <c r="D239" s="38" t="n">
        <v>62</v>
      </c>
      <c r="E239" s="38" t="n">
        <v>7</v>
      </c>
      <c r="F239" s="30" t="n">
        <v>48.1</v>
      </c>
      <c r="G239" s="30" t="n">
        <v>0.57</v>
      </c>
      <c r="H239" s="16" t="n">
        <v>9.9464575428</v>
      </c>
      <c r="I239" s="12" t="n">
        <f aca="false">H239</f>
        <v>9.9464575428</v>
      </c>
      <c r="J239" s="12" t="n">
        <f aca="false">10+LOG10(SIN(RADIANS(D239+E239/60+F239/3600)))</f>
        <v>9.94645754286011</v>
      </c>
      <c r="K239" s="25" t="n">
        <f aca="false">(I239-J239)*10000000000</f>
        <v>-0.601119154453045</v>
      </c>
      <c r="L239" s="39" t="s">
        <v>100</v>
      </c>
      <c r="N239" s="16" t="n">
        <v>4.160961444</v>
      </c>
      <c r="O239" s="40" t="n">
        <f aca="false">O241+I239-I241</f>
        <v>4.16096144369999</v>
      </c>
      <c r="P239" s="41" t="n">
        <f aca="false">IF(N239="","",(O239-N239)*10000000000)</f>
        <v>-3.00014235676827</v>
      </c>
      <c r="Q239" s="38" t="n">
        <v>0.05</v>
      </c>
      <c r="R239" s="12" t="n">
        <f aca="false">I239-COS(RADIANS(D239+E239/60+F239/3600))/SIN(RADIANS(D239+E239/60+F239/3600))*RADIANS(Q239/3600)/LN(10)</f>
        <v>9.94645748712987</v>
      </c>
      <c r="S239" s="40" t="n">
        <f aca="false">S241+R239-R241</f>
        <v>4.16095393720776</v>
      </c>
      <c r="T239" s="40" t="n">
        <f aca="false">T241+J239-J241</f>
        <v>4.16096030689063</v>
      </c>
      <c r="U239" s="42" t="n">
        <f aca="false">Summary!$C$6*ASIN(10^O239/Summary!$C$6)</f>
        <v>14486.4798570019</v>
      </c>
      <c r="V239" s="15" t="n">
        <v>14486.4799</v>
      </c>
      <c r="W239" s="43" t="n">
        <f aca="false">IF(V239="","",(V239-U239)*Summary!$C$7*1000)</f>
        <v>0.0838049147181903</v>
      </c>
      <c r="X239" s="44" t="n">
        <f aca="false">U239*Summary!$C$7</f>
        <v>28234.6793231474</v>
      </c>
      <c r="Y239" s="26" t="n">
        <f aca="false">(D239+D240+D241-180)*3600+(E239+E240+E241)*60+F239+F240+F241-(G239+G240+G241)</f>
        <v>-8.65973959207622E-015</v>
      </c>
    </row>
    <row r="240" customFormat="false" ht="15" hidden="false" customHeight="false" outlineLevel="0" collapsed="false">
      <c r="A240" s="5" t="n">
        <v>79</v>
      </c>
      <c r="B240" s="5" t="s">
        <v>309</v>
      </c>
      <c r="C240" s="5" t="s">
        <v>314</v>
      </c>
      <c r="D240" s="38" t="n">
        <v>59</v>
      </c>
      <c r="E240" s="38" t="n">
        <v>1</v>
      </c>
      <c r="F240" s="30" t="n">
        <v>41.36</v>
      </c>
      <c r="G240" s="30" t="n">
        <v>0.55</v>
      </c>
      <c r="H240" s="16" t="n">
        <v>9.9331937566</v>
      </c>
      <c r="I240" s="12" t="n">
        <f aca="false">H240</f>
        <v>9.9331937566</v>
      </c>
      <c r="J240" s="12" t="n">
        <f aca="false">10+LOG10(SIN(RADIANS(D240+E240/60+F240/3600)))</f>
        <v>9.93319375674194</v>
      </c>
      <c r="K240" s="25" t="n">
        <f aca="false">(I240-J240)*10000000000</f>
        <v>-1.41938016895438</v>
      </c>
      <c r="L240" s="39" t="s">
        <v>100</v>
      </c>
      <c r="N240" s="16" t="n">
        <v>4.1476976578</v>
      </c>
      <c r="O240" s="40" t="n">
        <f aca="false">O241+I240-I241</f>
        <v>4.14769765749999</v>
      </c>
      <c r="P240" s="41" t="n">
        <f aca="false">IF(N240="","",(O240-N240)*10000000000)</f>
        <v>-3.00014235676827</v>
      </c>
      <c r="Q240" s="38" t="n">
        <v>0.05</v>
      </c>
      <c r="R240" s="12" t="n">
        <f aca="false">I240-COS(RADIANS(D240+E240/60+F240/3600))/SIN(RADIANS(D240+E240/60+F240/3600))*RADIANS(Q240/3600)/LN(10)</f>
        <v>9.93319369341422</v>
      </c>
      <c r="S240" s="40" t="n">
        <f aca="false">S241+R240-R241</f>
        <v>4.1476901434921</v>
      </c>
      <c r="T240" s="40" t="n">
        <f aca="false">T241+J240-J241</f>
        <v>4.14769652077246</v>
      </c>
      <c r="U240" s="42" t="n">
        <f aca="false">Summary!$C$6*ASIN(10^O240/Summary!$C$6)</f>
        <v>14050.7334917788</v>
      </c>
      <c r="V240" s="15" t="n">
        <v>14050.7335</v>
      </c>
      <c r="W240" s="43" t="n">
        <f aca="false">IF(V240="","",(V240-U240)*Summary!$C$7*1000)</f>
        <v>0.0160235064953772</v>
      </c>
      <c r="X240" s="44" t="n">
        <f aca="false">U240*Summary!$C$7</f>
        <v>27385.3937127198</v>
      </c>
    </row>
    <row r="241" customFormat="false" ht="15" hidden="false" customHeight="false" outlineLevel="0" collapsed="false">
      <c r="A241" s="45" t="n">
        <v>79</v>
      </c>
      <c r="B241" s="45" t="s">
        <v>315</v>
      </c>
      <c r="C241" s="45" t="s">
        <v>307</v>
      </c>
      <c r="D241" s="46" t="n">
        <v>58</v>
      </c>
      <c r="E241" s="46" t="n">
        <v>50</v>
      </c>
      <c r="F241" s="47" t="n">
        <v>32.19</v>
      </c>
      <c r="G241" s="47" t="n">
        <v>0.53</v>
      </c>
      <c r="H241" s="48" t="n">
        <v>9.932345003</v>
      </c>
      <c r="I241" s="49" t="n">
        <f aca="false">H241</f>
        <v>9.932345003</v>
      </c>
      <c r="J241" s="49" t="n">
        <f aca="false">10+LOG10(SIN(RADIANS(D241+E241/60+F241/3600)))</f>
        <v>9.93234500329223</v>
      </c>
      <c r="K241" s="50" t="n">
        <f aca="false">(I241-J241)*10000000000</f>
        <v>-2.92228463649735</v>
      </c>
      <c r="L241" s="51" t="s">
        <v>103</v>
      </c>
      <c r="M241" s="51" t="n">
        <v>77</v>
      </c>
      <c r="N241" s="52"/>
      <c r="O241" s="52" t="n">
        <f aca="false">O233</f>
        <v>4.14684890389999</v>
      </c>
      <c r="P241" s="53"/>
      <c r="Q241" s="46" t="n">
        <v>-0.1</v>
      </c>
      <c r="R241" s="49" t="n">
        <f aca="false">I241-COS(RADIANS(D241+E241/60+F241/3600))/SIN(RADIANS(D241+E241/60+F241/3600))*RADIANS(Q241/3600)/LN(10)</f>
        <v>9.93234513030253</v>
      </c>
      <c r="S241" s="52" t="n">
        <f aca="false">S233</f>
        <v>4.14684158038042</v>
      </c>
      <c r="T241" s="52" t="n">
        <f aca="false">T233</f>
        <v>4.14684776732275</v>
      </c>
      <c r="U241" s="54"/>
      <c r="V241" s="54"/>
      <c r="W241" s="56"/>
      <c r="X241" s="57"/>
      <c r="Y241" s="51"/>
    </row>
    <row r="242" customFormat="false" ht="15" hidden="false" customHeight="false" outlineLevel="0" collapsed="false">
      <c r="A242" s="58" t="n">
        <v>80</v>
      </c>
      <c r="B242" s="58" t="s">
        <v>306</v>
      </c>
      <c r="C242" s="58" t="s">
        <v>316</v>
      </c>
      <c r="D242" s="59" t="n">
        <v>33</v>
      </c>
      <c r="E242" s="59" t="n">
        <v>45</v>
      </c>
      <c r="F242" s="60" t="n">
        <v>52.26</v>
      </c>
      <c r="G242" s="60" t="n">
        <v>0.31</v>
      </c>
      <c r="H242" s="61" t="n">
        <v>9.7449036014</v>
      </c>
      <c r="I242" s="62" t="n">
        <f aca="false">H242</f>
        <v>9.7449036014</v>
      </c>
      <c r="J242" s="62" t="n">
        <f aca="false">10+LOG10(SIN(RADIANS(D242+E242/60+F242/3600)))</f>
        <v>9.74490360156687</v>
      </c>
      <c r="K242" s="63" t="n">
        <f aca="false">(I242-J242)*10000000000</f>
        <v>-1.66872737850099</v>
      </c>
      <c r="L242" s="64" t="s">
        <v>100</v>
      </c>
      <c r="M242" s="64"/>
      <c r="N242" s="61" t="n">
        <v>3.9312756848</v>
      </c>
      <c r="O242" s="65" t="n">
        <f aca="false">O244+I242-I244</f>
        <v>3.93127568439999</v>
      </c>
      <c r="P242" s="66" t="n">
        <f aca="false">IF(N242="","",(O242-N242)*10000000000)</f>
        <v>-4.00013355772444</v>
      </c>
      <c r="Q242" s="59" t="n">
        <v>0.05</v>
      </c>
      <c r="R242" s="62" t="n">
        <f aca="false">I242-COS(RADIANS(D242+E242/60+F242/3600))/SIN(RADIANS(D242+E242/60+F242/3600))*RADIANS(Q242/3600)/LN(10)</f>
        <v>9.74490344392979</v>
      </c>
      <c r="S242" s="65" t="n">
        <f aca="false">S244+R242-R244</f>
        <v>3.93126791995718</v>
      </c>
      <c r="T242" s="65" t="n">
        <f aca="false">T244+J242-J244</f>
        <v>3.93127454767957</v>
      </c>
      <c r="U242" s="67" t="n">
        <f aca="false">Summary!$C$6*ASIN(10^O242/Summary!$C$6)</f>
        <v>8536.42793970676</v>
      </c>
      <c r="V242" s="68" t="n">
        <v>8536.428</v>
      </c>
      <c r="W242" s="69" t="n">
        <f aca="false">IF(V242="","",(V242-U242)*Summary!$C$7*1000)</f>
        <v>0.11751374080635</v>
      </c>
      <c r="X242" s="70" t="n">
        <f aca="false">U242*Summary!$C$7</f>
        <v>16637.8104150872</v>
      </c>
      <c r="Y242" s="71" t="n">
        <f aca="false">(D242+D243+D244-180)*3600+(E242+E243+E244)*60+F242+F243+F244-(G242+G243+G244)</f>
        <v>-1.37667655053519E-014</v>
      </c>
    </row>
    <row r="243" customFormat="false" ht="15" hidden="false" customHeight="false" outlineLevel="0" collapsed="false">
      <c r="A243" s="58" t="n">
        <v>80</v>
      </c>
      <c r="B243" s="58" t="s">
        <v>315</v>
      </c>
      <c r="C243" s="58" t="s">
        <v>317</v>
      </c>
      <c r="D243" s="59" t="n">
        <v>80</v>
      </c>
      <c r="E243" s="59" t="n">
        <v>3</v>
      </c>
      <c r="F243" s="60" t="n">
        <v>31.08</v>
      </c>
      <c r="G243" s="60" t="n">
        <v>0.45</v>
      </c>
      <c r="H243" s="61" t="n">
        <v>9.9934295899</v>
      </c>
      <c r="I243" s="62" t="n">
        <f aca="false">H243</f>
        <v>9.9934295899</v>
      </c>
      <c r="J243" s="62" t="n">
        <f aca="false">10+LOG10(SIN(RADIANS(D243+E243/60+F243/3600)))</f>
        <v>9.99342959004646</v>
      </c>
      <c r="K243" s="63" t="n">
        <f aca="false">(I243-J243)*10000000000</f>
        <v>-1.46464174122229</v>
      </c>
      <c r="L243" s="64" t="s">
        <v>100</v>
      </c>
      <c r="M243" s="64"/>
      <c r="N243" s="61" t="n">
        <v>4.1798016732</v>
      </c>
      <c r="O243" s="65" t="n">
        <f aca="false">O244+I243-I244</f>
        <v>4.17980167289999</v>
      </c>
      <c r="P243" s="66" t="n">
        <f aca="false">IF(N243="","",(O243-N243)*10000000000)</f>
        <v>-3.00014235676827</v>
      </c>
      <c r="Q243" s="59" t="n">
        <v>0.05</v>
      </c>
      <c r="R243" s="62" t="n">
        <f aca="false">I243-COS(RADIANS(D243+E243/60+F243/3600))/SIN(RADIANS(D243+E243/60+F243/3600))*RADIANS(Q243/3600)/LN(10)</f>
        <v>9.99342957144807</v>
      </c>
      <c r="S243" s="65" t="n">
        <f aca="false">S244+R243-R244</f>
        <v>4.17979404747547</v>
      </c>
      <c r="T243" s="65" t="n">
        <f aca="false">T244+J243-J244</f>
        <v>4.17980053615917</v>
      </c>
      <c r="U243" s="67" t="n">
        <f aca="false">Summary!$C$6*ASIN(10^O243/Summary!$C$6)</f>
        <v>15128.756227732</v>
      </c>
      <c r="V243" s="68" t="n">
        <v>15128.7563</v>
      </c>
      <c r="W243" s="69" t="n">
        <f aca="false">IF(V243="","",(V243-U243)*Summary!$C$7*1000)</f>
        <v>0.140852968742726</v>
      </c>
      <c r="X243" s="70" t="n">
        <f aca="false">U243*Summary!$C$7</f>
        <v>29486.4994715484</v>
      </c>
      <c r="Y243" s="64"/>
    </row>
    <row r="244" customFormat="false" ht="15" hidden="false" customHeight="false" outlineLevel="0" collapsed="false">
      <c r="A244" s="72" t="n">
        <v>80</v>
      </c>
      <c r="B244" s="72" t="s">
        <v>318</v>
      </c>
      <c r="C244" s="72" t="s">
        <v>314</v>
      </c>
      <c r="D244" s="73" t="n">
        <v>66</v>
      </c>
      <c r="E244" s="73" t="n">
        <v>10</v>
      </c>
      <c r="F244" s="74" t="n">
        <v>37.8</v>
      </c>
      <c r="G244" s="74" t="n">
        <v>0.38</v>
      </c>
      <c r="H244" s="75" t="n">
        <v>9.9613255745</v>
      </c>
      <c r="I244" s="76" t="n">
        <f aca="false">H244</f>
        <v>9.9613255745</v>
      </c>
      <c r="J244" s="76" t="n">
        <f aca="false">10+LOG10(SIN(RADIANS(D244+E244/60+F244/3600)))</f>
        <v>9.96132557465976</v>
      </c>
      <c r="K244" s="77" t="n">
        <f aca="false">(I244-J244)*10000000000</f>
        <v>-1.59758428708301</v>
      </c>
      <c r="L244" s="78" t="s">
        <v>103</v>
      </c>
      <c r="M244" s="78" t="n">
        <v>79</v>
      </c>
      <c r="N244" s="79"/>
      <c r="O244" s="79" t="n">
        <f aca="false">O240</f>
        <v>4.14769765749999</v>
      </c>
      <c r="P244" s="80"/>
      <c r="Q244" s="73" t="n">
        <v>-0.1</v>
      </c>
      <c r="R244" s="76" t="n">
        <f aca="false">I244-COS(RADIANS(D244+E244/60+F244/3600))/SIN(RADIANS(D244+E244/60+F244/3600))*RADIANS(Q244/3600)/LN(10)</f>
        <v>9.9613256674647</v>
      </c>
      <c r="S244" s="79" t="n">
        <f aca="false">S240</f>
        <v>4.1476901434921</v>
      </c>
      <c r="T244" s="79" t="n">
        <f aca="false">T240</f>
        <v>4.14769652077246</v>
      </c>
      <c r="U244" s="81"/>
      <c r="V244" s="81"/>
      <c r="W244" s="82"/>
      <c r="X244" s="83"/>
      <c r="Y244" s="78"/>
    </row>
    <row r="245" customFormat="false" ht="15" hidden="false" customHeight="false" outlineLevel="0" collapsed="false">
      <c r="A245" s="5" t="n">
        <v>81</v>
      </c>
      <c r="B245" s="5" t="s">
        <v>306</v>
      </c>
      <c r="C245" s="5" t="s">
        <v>319</v>
      </c>
      <c r="D245" s="38" t="n">
        <v>52</v>
      </c>
      <c r="E245" s="38" t="n">
        <v>5</v>
      </c>
      <c r="F245" s="30" t="n">
        <v>47.77</v>
      </c>
      <c r="G245" s="30" t="n">
        <v>0.49</v>
      </c>
      <c r="H245" s="16" t="n">
        <v>9.8971032364</v>
      </c>
      <c r="I245" s="12" t="n">
        <f aca="false">H245</f>
        <v>9.8971032364</v>
      </c>
      <c r="J245" s="12" t="n">
        <f aca="false">10+LOG10(SIN(RADIANS(D245+E245/60+F245/3600)))</f>
        <v>9.89710323667238</v>
      </c>
      <c r="K245" s="25" t="n">
        <f aca="false">(I245-J245)*10000000000</f>
        <v>-2.72375899612598</v>
      </c>
      <c r="L245" s="39" t="s">
        <v>100</v>
      </c>
      <c r="N245" s="16" t="n">
        <v>4.1064891279</v>
      </c>
      <c r="O245" s="40" t="n">
        <f aca="false">O247+I245-I247</f>
        <v>4.10648912739999</v>
      </c>
      <c r="P245" s="41" t="n">
        <f aca="false">IF(N245="","",(O245-N245)*10000000000)</f>
        <v>-5.00014252224901</v>
      </c>
      <c r="Q245" s="38" t="n">
        <v>0.05</v>
      </c>
      <c r="R245" s="12" t="n">
        <f aca="false">I245-COS(RADIANS(D245+E245/60+F245/3600))/SIN(RADIANS(D245+E245/60+F245/3600))*RADIANS(Q245/3600)/LN(10)</f>
        <v>9.89710315443488</v>
      </c>
      <c r="S245" s="40" t="n">
        <f aca="false">S247+R245-R247</f>
        <v>4.10648133957035</v>
      </c>
      <c r="T245" s="40" t="n">
        <f aca="false">T247+J245-J247</f>
        <v>4.10648799078989</v>
      </c>
      <c r="U245" s="42" t="n">
        <f aca="false">Summary!$C$6*ASIN(10^O245/Summary!$C$6)</f>
        <v>12778.8047591168</v>
      </c>
      <c r="V245" s="15" t="n">
        <v>12778.8039</v>
      </c>
      <c r="W245" s="43" t="n">
        <f aca="false">IF(V245="","",(V245-U245)*Summary!$C$7*1000)</f>
        <v>-1.67444998522614</v>
      </c>
      <c r="X245" s="44" t="n">
        <f aca="false">U245*Summary!$C$7</f>
        <v>24906.3580709968</v>
      </c>
      <c r="Y245" s="26" t="n">
        <f aca="false">(D245+D246+D247-180)*3600+(E245+E246+E247)*60+F245+F246+F247-(G245+G246+G247)</f>
        <v>1.06581410364015E-014</v>
      </c>
    </row>
    <row r="246" customFormat="false" ht="15" hidden="false" customHeight="false" outlineLevel="0" collapsed="false">
      <c r="A246" s="5" t="n">
        <v>81</v>
      </c>
      <c r="B246" s="5" t="s">
        <v>318</v>
      </c>
      <c r="C246" s="5" t="s">
        <v>320</v>
      </c>
      <c r="D246" s="38" t="n">
        <v>58</v>
      </c>
      <c r="E246" s="38" t="n">
        <v>48</v>
      </c>
      <c r="F246" s="30" t="n">
        <v>46.35</v>
      </c>
      <c r="G246" s="30" t="n">
        <v>0.52</v>
      </c>
      <c r="H246" s="16" t="n">
        <v>9.9322101881</v>
      </c>
      <c r="I246" s="12" t="n">
        <f aca="false">H246</f>
        <v>9.9322101881</v>
      </c>
      <c r="J246" s="12" t="n">
        <f aca="false">10+LOG10(SIN(RADIANS(D246+E246/60+F246/3600)))</f>
        <v>9.93221018820442</v>
      </c>
      <c r="K246" s="25" t="n">
        <f aca="false">(I246-J246)*10000000000</f>
        <v>-1.04419584090465</v>
      </c>
      <c r="L246" s="39" t="s">
        <v>100</v>
      </c>
      <c r="N246" s="16" t="n">
        <v>4.1415960794</v>
      </c>
      <c r="O246" s="40" t="n">
        <f aca="false">O247+I246-I247</f>
        <v>4.14159607909999</v>
      </c>
      <c r="P246" s="41" t="n">
        <f aca="false">IF(N246="","",(O246-N246)*10000000000)</f>
        <v>-3.00015123855246</v>
      </c>
      <c r="Q246" s="38" t="n">
        <v>0.05</v>
      </c>
      <c r="R246" s="12" t="n">
        <f aca="false">I246-COS(RADIANS(D246+E246/60+F246/3600))/SIN(RADIANS(D246+E246/60+F246/3600))*RADIANS(Q246/3600)/LN(10)</f>
        <v>9.93221012437495</v>
      </c>
      <c r="S246" s="40" t="n">
        <f aca="false">S247+R246-R247</f>
        <v>4.14158830951041</v>
      </c>
      <c r="T246" s="40" t="n">
        <f aca="false">T247+J246-J247</f>
        <v>4.14159494232193</v>
      </c>
      <c r="U246" s="42" t="n">
        <f aca="false">Summary!$C$6*ASIN(10^O246/Summary!$C$6)</f>
        <v>13854.7081203</v>
      </c>
      <c r="V246" s="15" t="n">
        <v>13854.7082</v>
      </c>
      <c r="W246" s="43" t="n">
        <f aca="false">IF(V246="","",(V246-U246)*Summary!$C$7*1000)</f>
        <v>0.155338285946446</v>
      </c>
      <c r="X246" s="44" t="n">
        <f aca="false">U246*Summary!$C$7</f>
        <v>27003.3330908476</v>
      </c>
    </row>
    <row r="247" customFormat="false" ht="15" hidden="false" customHeight="false" outlineLevel="0" collapsed="false">
      <c r="A247" s="45" t="n">
        <v>81</v>
      </c>
      <c r="B247" s="45" t="s">
        <v>321</v>
      </c>
      <c r="C247" s="45" t="s">
        <v>317</v>
      </c>
      <c r="D247" s="46" t="n">
        <v>69</v>
      </c>
      <c r="E247" s="46" t="n">
        <v>5</v>
      </c>
      <c r="F247" s="47" t="n">
        <v>27.47</v>
      </c>
      <c r="G247" s="47" t="n">
        <v>0.58</v>
      </c>
      <c r="H247" s="48" t="n">
        <v>9.9704157819</v>
      </c>
      <c r="I247" s="49" t="n">
        <f aca="false">H247</f>
        <v>9.9704157819</v>
      </c>
      <c r="J247" s="49" t="n">
        <f aca="false">10+LOG10(SIN(RADIANS(D247+E247/60+F247/3600)))</f>
        <v>9.97041578204165</v>
      </c>
      <c r="K247" s="50" t="n">
        <f aca="false">(I247-J247)*10000000000</f>
        <v>-1.41650247087455</v>
      </c>
      <c r="L247" s="51" t="s">
        <v>103</v>
      </c>
      <c r="M247" s="51" t="n">
        <v>80</v>
      </c>
      <c r="N247" s="52"/>
      <c r="O247" s="52" t="n">
        <f aca="false">O243</f>
        <v>4.17980167289999</v>
      </c>
      <c r="P247" s="53"/>
      <c r="Q247" s="46" t="n">
        <v>-0.1</v>
      </c>
      <c r="R247" s="49" t="n">
        <f aca="false">I247-COS(RADIANS(D247+E247/60+F247/3600))/SIN(RADIANS(D247+E247/60+F247/3600))*RADIANS(Q247/3600)/LN(10)</f>
        <v>9.97041586234001</v>
      </c>
      <c r="S247" s="52" t="n">
        <f aca="false">S243</f>
        <v>4.17979404747547</v>
      </c>
      <c r="T247" s="52" t="n">
        <f aca="false">T243</f>
        <v>4.17980053615917</v>
      </c>
      <c r="U247" s="54"/>
      <c r="V247" s="54"/>
      <c r="W247" s="56"/>
      <c r="X247" s="57"/>
      <c r="Y247" s="51"/>
    </row>
    <row r="248" customFormat="false" ht="15" hidden="false" customHeight="false" outlineLevel="0" collapsed="false">
      <c r="A248" s="58" t="n">
        <v>82</v>
      </c>
      <c r="B248" s="58" t="s">
        <v>318</v>
      </c>
      <c r="C248" s="58" t="s">
        <v>322</v>
      </c>
      <c r="D248" s="59" t="n">
        <v>69</v>
      </c>
      <c r="E248" s="59" t="n">
        <v>20</v>
      </c>
      <c r="F248" s="60" t="n">
        <v>48.19</v>
      </c>
      <c r="G248" s="60" t="n">
        <v>0.83</v>
      </c>
      <c r="H248" s="61" t="n">
        <v>9.9711514565</v>
      </c>
      <c r="I248" s="62" t="n">
        <f aca="false">H248</f>
        <v>9.9711514565</v>
      </c>
      <c r="J248" s="62" t="n">
        <f aca="false">10+LOG10(SIN(RADIANS(D248+E248/60+F248/3600)))</f>
        <v>9.97115145663025</v>
      </c>
      <c r="K248" s="63" t="n">
        <f aca="false">(I248-J248)*10000000000</f>
        <v>-1.30254917962702</v>
      </c>
      <c r="L248" s="64" t="s">
        <v>100</v>
      </c>
      <c r="M248" s="64"/>
      <c r="N248" s="61" t="n">
        <v>4.3153781777</v>
      </c>
      <c r="O248" s="65" t="n">
        <f aca="false">O250+I248-I250</f>
        <v>4.31537817729999</v>
      </c>
      <c r="P248" s="66" t="n">
        <f aca="false">IF(N248="","",(O248-N248)*10000000000)</f>
        <v>-4.00015132129283</v>
      </c>
      <c r="Q248" s="59" t="n">
        <v>0.05</v>
      </c>
      <c r="R248" s="62" t="n">
        <f aca="false">I248-COS(RADIANS(D248+E248/60+F248/3600))/SIN(RADIANS(D248+E248/60+F248/3600))*RADIANS(Q248/3600)/LN(10)</f>
        <v>9.9711514168176</v>
      </c>
      <c r="S248" s="65" t="n">
        <f aca="false">S250+R248-R250</f>
        <v>4.31537005286863</v>
      </c>
      <c r="T248" s="65" t="n">
        <f aca="false">T250+J248-J250</f>
        <v>4.31537704042329</v>
      </c>
      <c r="U248" s="67" t="n">
        <f aca="false">Summary!$C$6*ASIN(10^O248/Summary!$C$6)</f>
        <v>20671.9323604375</v>
      </c>
      <c r="V248" s="68" t="n">
        <v>20671.9324</v>
      </c>
      <c r="W248" s="69" t="n">
        <f aca="false">IF(V248="","",(V248-U248)*Summary!$C$7*1000)</f>
        <v>0.0771086949639277</v>
      </c>
      <c r="X248" s="70" t="n">
        <f aca="false">U248*Summary!$C$7</f>
        <v>40290.3525872533</v>
      </c>
      <c r="Y248" s="71" t="n">
        <f aca="false">(D248+D249+D250-180)*3600+(E248+E249+E250)*60+F248+F249+F250-(G248+G249+G250)</f>
        <v>0</v>
      </c>
    </row>
    <row r="249" customFormat="false" ht="15" hidden="false" customHeight="false" outlineLevel="0" collapsed="false">
      <c r="A249" s="58" t="n">
        <v>82</v>
      </c>
      <c r="B249" s="58" t="s">
        <v>321</v>
      </c>
      <c r="C249" s="58" t="s">
        <v>323</v>
      </c>
      <c r="D249" s="59" t="n">
        <v>75</v>
      </c>
      <c r="E249" s="59" t="n">
        <v>18</v>
      </c>
      <c r="F249" s="60" t="n">
        <v>45.67</v>
      </c>
      <c r="G249" s="60" t="n">
        <v>0.95</v>
      </c>
      <c r="H249" s="61" t="n">
        <v>9.9855719247</v>
      </c>
      <c r="I249" s="62" t="n">
        <f aca="false">H249</f>
        <v>9.9855719247</v>
      </c>
      <c r="J249" s="62" t="n">
        <f aca="false">10+LOG10(SIN(RADIANS(D249+E249/60+F249/3600)))</f>
        <v>9.98557192478068</v>
      </c>
      <c r="K249" s="63" t="n">
        <f aca="false">(I249-J249)*10000000000</f>
        <v>-0.806785749318806</v>
      </c>
      <c r="L249" s="64" t="s">
        <v>100</v>
      </c>
      <c r="M249" s="64"/>
      <c r="N249" s="61" t="n">
        <v>4.3297986458</v>
      </c>
      <c r="O249" s="65" t="n">
        <f aca="false">O250+I249-I250</f>
        <v>4.32979864549999</v>
      </c>
      <c r="P249" s="66" t="n">
        <f aca="false">IF(N249="","",(O249-N249)*10000000000)</f>
        <v>-3.00014235676827</v>
      </c>
      <c r="Q249" s="59" t="n">
        <v>0.05</v>
      </c>
      <c r="R249" s="62" t="n">
        <f aca="false">I249-COS(RADIANS(D249+E249/60+F249/3600))/SIN(RADIANS(D249+E249/60+F249/3600))*RADIANS(Q249/3600)/LN(10)</f>
        <v>9.98557189710628</v>
      </c>
      <c r="S249" s="65" t="n">
        <f aca="false">S250+R249-R250</f>
        <v>4.32979053315731</v>
      </c>
      <c r="T249" s="65" t="n">
        <f aca="false">T250+J249-J250</f>
        <v>4.32979750857371</v>
      </c>
      <c r="U249" s="67" t="n">
        <f aca="false">Summary!$C$6*ASIN(10^O249/Summary!$C$6)</f>
        <v>21369.863222301</v>
      </c>
      <c r="V249" s="68" t="n">
        <v>21369.8639</v>
      </c>
      <c r="W249" s="69" t="n">
        <f aca="false">IF(V249="","",(V249-U249)*Summary!$C$7*1000)</f>
        <v>1.32086008053382</v>
      </c>
      <c r="X249" s="70" t="n">
        <f aca="false">U249*Summary!$C$7</f>
        <v>41650.6453753539</v>
      </c>
      <c r="Y249" s="64"/>
    </row>
    <row r="250" customFormat="false" ht="15" hidden="false" customHeight="false" outlineLevel="0" collapsed="false">
      <c r="A250" s="72" t="n">
        <v>82</v>
      </c>
      <c r="B250" s="72" t="s">
        <v>324</v>
      </c>
      <c r="C250" s="72" t="s">
        <v>319</v>
      </c>
      <c r="D250" s="73" t="n">
        <v>35</v>
      </c>
      <c r="E250" s="73" t="n">
        <v>20</v>
      </c>
      <c r="F250" s="74" t="n">
        <v>28.6</v>
      </c>
      <c r="G250" s="74" t="n">
        <v>0.68</v>
      </c>
      <c r="H250" s="75" t="n">
        <v>9.7622624066</v>
      </c>
      <c r="I250" s="76" t="n">
        <f aca="false">H250</f>
        <v>9.7622624066</v>
      </c>
      <c r="J250" s="76" t="n">
        <f aca="false">10+LOG10(SIN(RADIANS(D250+E250/60+F250/3600)))</f>
        <v>9.76226240699686</v>
      </c>
      <c r="K250" s="77" t="n">
        <f aca="false">(I250-J250)*10000000000</f>
        <v>-3.96857657847249</v>
      </c>
      <c r="L250" s="78" t="s">
        <v>103</v>
      </c>
      <c r="M250" s="78" t="n">
        <v>81</v>
      </c>
      <c r="N250" s="79"/>
      <c r="O250" s="79" t="n">
        <f aca="false">O245</f>
        <v>4.10648912739999</v>
      </c>
      <c r="P250" s="80"/>
      <c r="Q250" s="73" t="n">
        <v>-0.1</v>
      </c>
      <c r="R250" s="76" t="n">
        <f aca="false">I250-COS(RADIANS(D250+E250/60+F250/3600))/SIN(RADIANS(D250+E250/60+F250/3600))*RADIANS(Q250/3600)/LN(10)</f>
        <v>9.76226270351932</v>
      </c>
      <c r="S250" s="79" t="n">
        <f aca="false">S245</f>
        <v>4.10648133957035</v>
      </c>
      <c r="T250" s="79" t="n">
        <f aca="false">T245</f>
        <v>4.10648799078989</v>
      </c>
      <c r="U250" s="81"/>
      <c r="V250" s="81"/>
      <c r="W250" s="82"/>
      <c r="X250" s="83"/>
      <c r="Y250" s="78"/>
    </row>
    <row r="251" customFormat="false" ht="15" hidden="false" customHeight="false" outlineLevel="0" collapsed="false">
      <c r="A251" s="5" t="n">
        <v>83</v>
      </c>
      <c r="B251" s="5" t="s">
        <v>318</v>
      </c>
      <c r="C251" s="5" t="s">
        <v>325</v>
      </c>
      <c r="D251" s="38" t="n">
        <v>49</v>
      </c>
      <c r="E251" s="38" t="n">
        <v>57</v>
      </c>
      <c r="F251" s="30" t="n">
        <v>51.74</v>
      </c>
      <c r="G251" s="30" t="n">
        <v>0.33</v>
      </c>
      <c r="H251" s="16" t="n">
        <v>9.8840272211</v>
      </c>
      <c r="I251" s="12" t="n">
        <f aca="false">H251</f>
        <v>9.8840272211</v>
      </c>
      <c r="J251" s="12" t="n">
        <f aca="false">10+LOG10(SIN(RADIANS(D251+E251/60+F251/3600)))</f>
        <v>9.88402722131674</v>
      </c>
      <c r="K251" s="25" t="n">
        <f aca="false">(I251-J251)*10000000000</f>
        <v>-2.16736850688903</v>
      </c>
      <c r="L251" s="39" t="s">
        <v>100</v>
      </c>
      <c r="N251" s="16" t="n">
        <v>4.2193265331</v>
      </c>
      <c r="O251" s="40" t="n">
        <f aca="false">O253+I251-I253</f>
        <v>4.21932653279999</v>
      </c>
      <c r="P251" s="41" t="n">
        <f aca="false">IF(N251="","",(O251-N251)*10000000000)</f>
        <v>-3.00014235676827</v>
      </c>
      <c r="Q251" s="38" t="n">
        <v>0.05</v>
      </c>
      <c r="R251" s="12" t="n">
        <f aca="false">I251-COS(RADIANS(D251+E251/60+F251/3600))/SIN(RADIANS(D251+E251/60+F251/3600))*RADIANS(Q251/3600)/LN(10)</f>
        <v>9.88402713265137</v>
      </c>
      <c r="S251" s="40" t="n">
        <f aca="false">S253+R251-R253</f>
        <v>4.21931836573321</v>
      </c>
      <c r="T251" s="40" t="n">
        <f aca="false">T253+J251-J253</f>
        <v>4.21932539606607</v>
      </c>
      <c r="U251" s="42" t="n">
        <f aca="false">Summary!$C$6*ASIN(10^O251/Summary!$C$6)</f>
        <v>16570.2245912938</v>
      </c>
      <c r="V251" s="15" t="n">
        <v>16570.2246</v>
      </c>
      <c r="W251" s="43" t="n">
        <f aca="false">IF(V251="","",(V251-U251)*Summary!$C$7*1000)</f>
        <v>0.0169686383207479</v>
      </c>
      <c r="X251" s="44" t="n">
        <f aca="false">U251*Summary!$C$7</f>
        <v>32295.9740576025</v>
      </c>
      <c r="Y251" s="26" t="n">
        <f aca="false">(D251+D252+D253-180)*3600+(E251+E252+E253)*60+F251+F252+F253-(G251+G252+G253)</f>
        <v>1.4210854715202E-014</v>
      </c>
    </row>
    <row r="252" customFormat="false" ht="15" hidden="false" customHeight="false" outlineLevel="0" collapsed="false">
      <c r="A252" s="5" t="n">
        <v>83</v>
      </c>
      <c r="B252" s="5" t="s">
        <v>324</v>
      </c>
      <c r="C252" s="5" t="s">
        <v>326</v>
      </c>
      <c r="D252" s="38" t="n">
        <v>30</v>
      </c>
      <c r="E252" s="38" t="n">
        <v>56</v>
      </c>
      <c r="F252" s="30" t="n">
        <v>10.42</v>
      </c>
      <c r="G252" s="30" t="n">
        <v>0.37</v>
      </c>
      <c r="H252" s="16" t="n">
        <v>9.7110338326</v>
      </c>
      <c r="I252" s="12" t="n">
        <f aca="false">H252</f>
        <v>9.7110338326</v>
      </c>
      <c r="J252" s="12" t="n">
        <f aca="false">10+LOG10(SIN(RADIANS(D252+E252/60+F252/3600)))</f>
        <v>9.71103383282218</v>
      </c>
      <c r="K252" s="25" t="n">
        <f aca="false">(I252-J252)*10000000000</f>
        <v>-2.22181384401665</v>
      </c>
      <c r="L252" s="39" t="s">
        <v>100</v>
      </c>
      <c r="N252" s="16" t="n">
        <v>4.0463331446</v>
      </c>
      <c r="O252" s="40" t="n">
        <f aca="false">O253+I252-I253</f>
        <v>4.04633314429999</v>
      </c>
      <c r="P252" s="41" t="n">
        <f aca="false">IF(N252="","",(O252-N252)*10000000000)</f>
        <v>-3.00014235676827</v>
      </c>
      <c r="Q252" s="38" t="n">
        <v>0.05</v>
      </c>
      <c r="R252" s="12" t="n">
        <f aca="false">I252-COS(RADIANS(D252+E252/60+F252/3600))/SIN(RADIANS(D252+E252/60+F252/3600))*RADIANS(Q252/3600)/LN(10)</f>
        <v>9.71103365694884</v>
      </c>
      <c r="S252" s="40" t="n">
        <f aca="false">S253+R252-R253</f>
        <v>4.04632489003067</v>
      </c>
      <c r="T252" s="40" t="n">
        <f aca="false">T253+J252-J253</f>
        <v>4.04633200757152</v>
      </c>
      <c r="U252" s="42" t="n">
        <f aca="false">Summary!$C$6*ASIN(10^O252/Summary!$C$6)</f>
        <v>11125.8700674631</v>
      </c>
      <c r="V252" s="15" t="n">
        <v>11125.8701</v>
      </c>
      <c r="W252" s="43" t="n">
        <f aca="false">IF(V252="","",(V252-U252)*Summary!$C$7*1000)</f>
        <v>0.0634155237964858</v>
      </c>
      <c r="X252" s="44" t="n">
        <f aca="false">U252*Summary!$C$7</f>
        <v>21684.7278736244</v>
      </c>
    </row>
    <row r="253" customFormat="false" ht="15" hidden="false" customHeight="false" outlineLevel="0" collapsed="false">
      <c r="A253" s="45" t="n">
        <v>83</v>
      </c>
      <c r="B253" s="45" t="s">
        <v>327</v>
      </c>
      <c r="C253" s="45" t="s">
        <v>323</v>
      </c>
      <c r="D253" s="46" t="n">
        <v>99</v>
      </c>
      <c r="E253" s="46" t="n">
        <v>5</v>
      </c>
      <c r="F253" s="47" t="n">
        <v>59.59</v>
      </c>
      <c r="G253" s="47" t="n">
        <v>1.05</v>
      </c>
      <c r="H253" s="48" t="n">
        <v>9.9944993338</v>
      </c>
      <c r="I253" s="49" t="n">
        <f aca="false">H253</f>
        <v>9.9944993338</v>
      </c>
      <c r="J253" s="49" t="n">
        <f aca="false">10+LOG10(SIN(RADIANS(D253+E253/60+F253/3600)))</f>
        <v>9.99449933382438</v>
      </c>
      <c r="K253" s="50" t="n">
        <f aca="false">(I253-J253)*10000000000</f>
        <v>-0.24378721263929</v>
      </c>
      <c r="L253" s="51" t="s">
        <v>103</v>
      </c>
      <c r="M253" s="51" t="n">
        <v>82</v>
      </c>
      <c r="N253" s="52"/>
      <c r="O253" s="52" t="n">
        <f aca="false">O249</f>
        <v>4.32979864549999</v>
      </c>
      <c r="P253" s="53"/>
      <c r="Q253" s="46" t="n">
        <v>-0.1</v>
      </c>
      <c r="R253" s="49" t="n">
        <f aca="false">I253-COS(RADIANS(D253+E253/60+F253/3600))/SIN(RADIANS(D253+E253/60+F253/3600))*RADIANS(Q253/3600)/LN(10)</f>
        <v>9.99449930007548</v>
      </c>
      <c r="S253" s="52" t="n">
        <f aca="false">S249</f>
        <v>4.32979053315731</v>
      </c>
      <c r="T253" s="52" t="n">
        <f aca="false">T249</f>
        <v>4.32979750857371</v>
      </c>
      <c r="U253" s="54"/>
      <c r="V253" s="54"/>
      <c r="W253" s="56"/>
      <c r="X253" s="57"/>
      <c r="Y253" s="51"/>
    </row>
    <row r="254" customFormat="false" ht="15" hidden="false" customHeight="false" outlineLevel="0" collapsed="false">
      <c r="A254" s="58" t="n">
        <v>84</v>
      </c>
      <c r="B254" s="58" t="s">
        <v>324</v>
      </c>
      <c r="C254" s="58" t="s">
        <v>328</v>
      </c>
      <c r="D254" s="59" t="n">
        <v>80</v>
      </c>
      <c r="E254" s="59" t="n">
        <v>5</v>
      </c>
      <c r="F254" s="60" t="n">
        <v>59</v>
      </c>
      <c r="G254" s="60" t="n">
        <v>1.18</v>
      </c>
      <c r="H254" s="61" t="n">
        <v>9.993484063</v>
      </c>
      <c r="I254" s="62" t="n">
        <f aca="false">H254</f>
        <v>9.993484063</v>
      </c>
      <c r="J254" s="62" t="n">
        <f aca="false">10+LOG10(SIN(RADIANS(D254+E254/60+F254/3600)))</f>
        <v>9.99348406313317</v>
      </c>
      <c r="K254" s="63" t="n">
        <f aca="false">(I254-J254)*10000000000</f>
        <v>-1.33168143179319</v>
      </c>
      <c r="L254" s="64" t="s">
        <v>100</v>
      </c>
      <c r="M254" s="64"/>
      <c r="N254" s="61" t="n">
        <v>4.343054013</v>
      </c>
      <c r="O254" s="65" t="n">
        <f aca="false">O256+I254-I256</f>
        <v>4.34305401269999</v>
      </c>
      <c r="P254" s="66" t="n">
        <f aca="false">IF(N254="","",(O254-N254)*10000000000)</f>
        <v>-3.00012459319987</v>
      </c>
      <c r="Q254" s="59" t="n">
        <v>0.05</v>
      </c>
      <c r="R254" s="62" t="n">
        <f aca="false">I254-COS(RADIANS(D254+E254/60+F254/3600))/SIN(RADIANS(D254+E254/60+F254/3600))*RADIANS(Q254/3600)/LN(10)</f>
        <v>9.99348404462588</v>
      </c>
      <c r="S254" s="65" t="n">
        <f aca="false">S256+R254-R256</f>
        <v>4.34304563639383</v>
      </c>
      <c r="T254" s="65" t="n">
        <f aca="false">T256+J254-J256</f>
        <v>4.34305287596352</v>
      </c>
      <c r="U254" s="67" t="n">
        <f aca="false">Summary!$C$6*ASIN(10^O254/Summary!$C$6)</f>
        <v>22032.1715563031</v>
      </c>
      <c r="V254" s="68" t="n">
        <v>22032.1716</v>
      </c>
      <c r="W254" s="69" t="n">
        <f aca="false">IF(V254="","",(V254-U254)*Summary!$C$7*1000)</f>
        <v>0.0851669179286753</v>
      </c>
      <c r="X254" s="70" t="n">
        <f aca="false">U254*Summary!$C$7</f>
        <v>42941.5085531711</v>
      </c>
      <c r="Y254" s="71" t="n">
        <f aca="false">(D254+D255+D256-180)*3600+(E254+E255+E256)*60+F254+F255+F256-(G254+G255+G256)</f>
        <v>0</v>
      </c>
    </row>
    <row r="255" customFormat="false" ht="15" hidden="false" customHeight="false" outlineLevel="0" collapsed="false">
      <c r="A255" s="58" t="n">
        <v>84</v>
      </c>
      <c r="B255" s="58" t="s">
        <v>327</v>
      </c>
      <c r="C255" s="58" t="s">
        <v>329</v>
      </c>
      <c r="D255" s="59" t="n">
        <v>52</v>
      </c>
      <c r="E255" s="59" t="n">
        <v>5</v>
      </c>
      <c r="F255" s="60" t="n">
        <v>36.04</v>
      </c>
      <c r="G255" s="60" t="n">
        <v>0.79</v>
      </c>
      <c r="H255" s="61" t="n">
        <v>9.8970840063</v>
      </c>
      <c r="I255" s="62" t="n">
        <f aca="false">H255</f>
        <v>9.8970840063</v>
      </c>
      <c r="J255" s="62" t="n">
        <f aca="false">10+LOG10(SIN(RADIANS(D255+E255/60+F255/3600)))</f>
        <v>9.89708400652746</v>
      </c>
      <c r="K255" s="63" t="n">
        <f aca="false">(I255-J255)*10000000000</f>
        <v>-2.27462493285202</v>
      </c>
      <c r="L255" s="64" t="s">
        <v>100</v>
      </c>
      <c r="M255" s="64"/>
      <c r="N255" s="61" t="n">
        <v>4.2466539562</v>
      </c>
      <c r="O255" s="65" t="n">
        <f aca="false">O256+I255-I256</f>
        <v>4.24665395599999</v>
      </c>
      <c r="P255" s="66" t="n">
        <f aca="false">IF(N255="","",(O255-N255)*10000000000)</f>
        <v>-2.0001333922437</v>
      </c>
      <c r="Q255" s="59" t="n">
        <v>0.05</v>
      </c>
      <c r="R255" s="62" t="n">
        <f aca="false">I255-COS(RADIANS(D255+E255/60+F255/3600))/SIN(RADIANS(D255+E255/60+F255/3600))*RADIANS(Q255/3600)/LN(10)</f>
        <v>9.89708392432526</v>
      </c>
      <c r="S255" s="65" t="n">
        <f aca="false">S256+R255-R256</f>
        <v>4.24664551609322</v>
      </c>
      <c r="T255" s="65" t="n">
        <f aca="false">T256+J255-J256</f>
        <v>4.24665281935781</v>
      </c>
      <c r="U255" s="67" t="n">
        <f aca="false">Summary!$C$6*ASIN(10^O255/Summary!$C$6)</f>
        <v>17646.3979029072</v>
      </c>
      <c r="V255" s="68" t="n">
        <v>17646.3979</v>
      </c>
      <c r="W255" s="69" t="n">
        <f aca="false">IF(V255="","",(V255-U255)*Summary!$C$7*1000)</f>
        <v>-0.00566628845055245</v>
      </c>
      <c r="X255" s="70" t="n">
        <f aca="false">U255*Summary!$C$7</f>
        <v>34393.4752207196</v>
      </c>
      <c r="Y255" s="64"/>
    </row>
    <row r="256" customFormat="false" ht="15" hidden="false" customHeight="false" outlineLevel="0" collapsed="false">
      <c r="A256" s="72" t="n">
        <v>84</v>
      </c>
      <c r="B256" s="72" t="s">
        <v>330</v>
      </c>
      <c r="C256" s="72" t="s">
        <v>325</v>
      </c>
      <c r="D256" s="73" t="n">
        <v>47</v>
      </c>
      <c r="E256" s="73" t="n">
        <v>48</v>
      </c>
      <c r="F256" s="74" t="n">
        <v>27.72</v>
      </c>
      <c r="G256" s="74" t="n">
        <v>0.79</v>
      </c>
      <c r="H256" s="75" t="n">
        <v>9.8697565831</v>
      </c>
      <c r="I256" s="76" t="n">
        <f aca="false">H256</f>
        <v>9.8697565831</v>
      </c>
      <c r="J256" s="76" t="n">
        <f aca="false">10+LOG10(SIN(RADIANS(D256+E256/60+F256/3600)))</f>
        <v>9.86975658323572</v>
      </c>
      <c r="K256" s="77" t="n">
        <f aca="false">(I256-J256)*10000000000</f>
        <v>-1.35722544314376</v>
      </c>
      <c r="L256" s="78" t="s">
        <v>103</v>
      </c>
      <c r="M256" s="78" t="n">
        <v>83</v>
      </c>
      <c r="N256" s="79"/>
      <c r="O256" s="79" t="n">
        <f aca="false">O251</f>
        <v>4.21932653279999</v>
      </c>
      <c r="P256" s="80"/>
      <c r="Q256" s="73" t="n">
        <v>-0.1</v>
      </c>
      <c r="R256" s="76" t="n">
        <f aca="false">I256-COS(RADIANS(D256+E256/60+F256/3600))/SIN(RADIANS(D256+E256/60+F256/3600))*RADIANS(Q256/3600)/LN(10)</f>
        <v>9.86975677396526</v>
      </c>
      <c r="S256" s="79" t="n">
        <f aca="false">S251</f>
        <v>4.21931836573321</v>
      </c>
      <c r="T256" s="79" t="n">
        <f aca="false">T251</f>
        <v>4.21932539606607</v>
      </c>
      <c r="U256" s="81"/>
      <c r="V256" s="81"/>
      <c r="W256" s="82"/>
      <c r="X256" s="83"/>
      <c r="Y256" s="78"/>
    </row>
    <row r="257" customFormat="false" ht="15" hidden="false" customHeight="false" outlineLevel="0" collapsed="false">
      <c r="A257" s="5" t="n">
        <v>85</v>
      </c>
      <c r="B257" s="5" t="s">
        <v>324</v>
      </c>
      <c r="C257" s="5" t="s">
        <v>331</v>
      </c>
      <c r="D257" s="38" t="n">
        <v>65</v>
      </c>
      <c r="E257" s="38" t="n">
        <v>4</v>
      </c>
      <c r="F257" s="30" t="n">
        <v>1.59</v>
      </c>
      <c r="G257" s="30" t="n">
        <v>0.89</v>
      </c>
      <c r="H257" s="16" t="n">
        <v>9.9575125466</v>
      </c>
      <c r="I257" s="12" t="n">
        <f aca="false">H257</f>
        <v>9.9575125466</v>
      </c>
      <c r="J257" s="12" t="n">
        <f aca="false">10+LOG10(SIN(RADIANS(D257+E257/60+F257/3600)))</f>
        <v>9.95751254676191</v>
      </c>
      <c r="K257" s="25" t="n">
        <f aca="false">(I257-J257)*10000000000</f>
        <v>-1.61904267770296</v>
      </c>
      <c r="L257" s="39" t="s">
        <v>100</v>
      </c>
      <c r="N257" s="16" t="n">
        <v>4.261592957</v>
      </c>
      <c r="O257" s="40" t="n">
        <f aca="false">O259+I257-I259</f>
        <v>4.26159295679999</v>
      </c>
      <c r="P257" s="41" t="n">
        <f aca="false">IF(N257="","",(O257-N257)*10000000000)</f>
        <v>-2.0001333922437</v>
      </c>
      <c r="Q257" s="38" t="n">
        <v>0.05</v>
      </c>
      <c r="R257" s="12" t="n">
        <f aca="false">I257-COS(RADIANS(D257+E257/60+F257/3600))/SIN(RADIANS(D257+E257/60+F257/3600))*RADIANS(Q257/3600)/LN(10)</f>
        <v>9.95751249765905</v>
      </c>
      <c r="S257" s="40" t="n">
        <f aca="false">S259+R257-R259</f>
        <v>4.26158435210557</v>
      </c>
      <c r="T257" s="40" t="n">
        <f aca="false">T259+J257-J259</f>
        <v>4.26159182028309</v>
      </c>
      <c r="U257" s="42" t="n">
        <f aca="false">Summary!$C$6*ASIN(10^O257/Summary!$C$6)</f>
        <v>18263.971423321</v>
      </c>
      <c r="V257" s="15" t="n">
        <v>18263.9715</v>
      </c>
      <c r="W257" s="43" t="n">
        <f aca="false">IF(V257="","",(V257-U257)*Summary!$C$7*1000)</f>
        <v>0.149450240425359</v>
      </c>
      <c r="X257" s="44" t="n">
        <f aca="false">U257*Summary!$C$7</f>
        <v>35597.1486099399</v>
      </c>
      <c r="Y257" s="26" t="n">
        <f aca="false">(D257+D258+D259-180)*3600+(E257+E258+E259)*60+F257+F258+F259-(G257+G258+G259)</f>
        <v>0</v>
      </c>
    </row>
    <row r="258" customFormat="false" ht="15" hidden="false" customHeight="false" outlineLevel="0" collapsed="false">
      <c r="A258" s="5" t="n">
        <v>85</v>
      </c>
      <c r="B258" s="5" t="s">
        <v>330</v>
      </c>
      <c r="C258" s="5" t="s">
        <v>332</v>
      </c>
      <c r="D258" s="38" t="n">
        <v>53</v>
      </c>
      <c r="E258" s="38" t="n">
        <v>45</v>
      </c>
      <c r="F258" s="30" t="n">
        <v>12.21</v>
      </c>
      <c r="G258" s="30" t="n">
        <v>0.78</v>
      </c>
      <c r="H258" s="16" t="n">
        <v>9.9065933893</v>
      </c>
      <c r="I258" s="12" t="n">
        <f aca="false">H258</f>
        <v>9.9065933893</v>
      </c>
      <c r="J258" s="12" t="n">
        <f aca="false">10+LOG10(SIN(RADIANS(D258+E258/60+F258/3600)))</f>
        <v>9.90659338949454</v>
      </c>
      <c r="K258" s="25" t="n">
        <f aca="false">(I258-J258)*10000000000</f>
        <v>-1.94544824694276</v>
      </c>
      <c r="L258" s="39" t="s">
        <v>100</v>
      </c>
      <c r="N258" s="16" t="n">
        <v>4.2106737998</v>
      </c>
      <c r="O258" s="40" t="n">
        <f aca="false">O259+I258-I259</f>
        <v>4.21067379949999</v>
      </c>
      <c r="P258" s="41" t="n">
        <f aca="false">IF(N258="","",(O258-N258)*10000000000)</f>
        <v>-3.00014235676827</v>
      </c>
      <c r="Q258" s="38" t="n">
        <v>0.05</v>
      </c>
      <c r="R258" s="12" t="n">
        <f aca="false">I258-COS(RADIANS(D258+E258/60+F258/3600))/SIN(RADIANS(D258+E258/60+F258/3600))*RADIANS(Q258/3600)/LN(10)</f>
        <v>9.90659331211806</v>
      </c>
      <c r="S258" s="40" t="n">
        <f aca="false">S259+R258-R259</f>
        <v>4.21066516656457</v>
      </c>
      <c r="T258" s="40" t="n">
        <f aca="false">T259+J258-J259</f>
        <v>4.21067266301573</v>
      </c>
      <c r="U258" s="42" t="n">
        <f aca="false">Summary!$C$6*ASIN(10^O258/Summary!$C$6)</f>
        <v>16243.3494963006</v>
      </c>
      <c r="V258" s="15" t="n">
        <v>16243.3495</v>
      </c>
      <c r="W258" s="43" t="n">
        <f aca="false">IF(V258="","",(V258-U258)*Summary!$C$7*1000)</f>
        <v>0.00721017854747617</v>
      </c>
      <c r="X258" s="44" t="n">
        <f aca="false">U258*Summary!$C$7</f>
        <v>31658.8825366147</v>
      </c>
    </row>
    <row r="259" customFormat="false" ht="15" hidden="false" customHeight="false" outlineLevel="0" collapsed="false">
      <c r="A259" s="45" t="n">
        <v>85</v>
      </c>
      <c r="B259" s="45" t="s">
        <v>333</v>
      </c>
      <c r="C259" s="45" t="s">
        <v>329</v>
      </c>
      <c r="D259" s="46" t="n">
        <v>61</v>
      </c>
      <c r="E259" s="46" t="n">
        <v>10</v>
      </c>
      <c r="F259" s="47" t="n">
        <v>48.69</v>
      </c>
      <c r="G259" s="47" t="n">
        <v>0.82</v>
      </c>
      <c r="H259" s="48" t="n">
        <v>9.9425735458</v>
      </c>
      <c r="I259" s="49" t="n">
        <f aca="false">H259</f>
        <v>9.9425735458</v>
      </c>
      <c r="J259" s="49" t="n">
        <f aca="false">10+LOG10(SIN(RADIANS(D259+E259/60+F259/3600)))</f>
        <v>9.94257354583663</v>
      </c>
      <c r="K259" s="50" t="n">
        <f aca="false">(I259-J259)*10000000000</f>
        <v>-0.366249253147544</v>
      </c>
      <c r="L259" s="51" t="s">
        <v>103</v>
      </c>
      <c r="M259" s="51" t="n">
        <v>84</v>
      </c>
      <c r="N259" s="52"/>
      <c r="O259" s="52" t="n">
        <f aca="false">O255</f>
        <v>4.24665395599999</v>
      </c>
      <c r="P259" s="53"/>
      <c r="Q259" s="46" t="n">
        <v>-0.1</v>
      </c>
      <c r="R259" s="49" t="n">
        <f aca="false">I259-COS(RADIANS(D259+E259/60+F259/3600))/SIN(RADIANS(D259+E259/60+F259/3600))*RADIANS(Q259/3600)/LN(10)</f>
        <v>9.9425736616467</v>
      </c>
      <c r="S259" s="52" t="n">
        <f aca="false">S255</f>
        <v>4.24664551609322</v>
      </c>
      <c r="T259" s="52" t="n">
        <f aca="false">T255</f>
        <v>4.24665281935781</v>
      </c>
      <c r="U259" s="54"/>
      <c r="V259" s="54"/>
      <c r="W259" s="56"/>
      <c r="X259" s="57"/>
      <c r="Y259" s="51"/>
    </row>
    <row r="260" customFormat="false" ht="15" hidden="false" customHeight="false" outlineLevel="0" collapsed="false">
      <c r="A260" s="58" t="n">
        <v>86</v>
      </c>
      <c r="B260" s="58" t="s">
        <v>333</v>
      </c>
      <c r="C260" s="58" t="s">
        <v>334</v>
      </c>
      <c r="D260" s="59" t="n">
        <v>51</v>
      </c>
      <c r="E260" s="59" t="n">
        <v>10</v>
      </c>
      <c r="F260" s="60" t="n">
        <v>11.5</v>
      </c>
      <c r="G260" s="60" t="n">
        <v>0.99</v>
      </c>
      <c r="H260" s="61" t="n">
        <v>9.8915420566</v>
      </c>
      <c r="I260" s="62" t="n">
        <f aca="false">H260</f>
        <v>9.8915420566</v>
      </c>
      <c r="J260" s="62" t="n">
        <f aca="false">10+LOG10(SIN(RADIANS(D260+E260/60+F260/3600)))</f>
        <v>9.89154205660174</v>
      </c>
      <c r="K260" s="63" t="n">
        <f aca="false">(I260-J260)*10000000000</f>
        <v>-0.0173550063209404</v>
      </c>
      <c r="L260" s="64" t="s">
        <v>100</v>
      </c>
      <c r="M260" s="64"/>
      <c r="N260" s="61" t="n">
        <v>4.299335821</v>
      </c>
      <c r="O260" s="65" t="n">
        <f aca="false">O262+I260-I262</f>
        <v>4.29933582069999</v>
      </c>
      <c r="P260" s="66" t="n">
        <f aca="false">IF(N260="","",(O260-N260)*10000000000)</f>
        <v>-3.00012459319987</v>
      </c>
      <c r="Q260" s="59" t="n">
        <v>0.05</v>
      </c>
      <c r="R260" s="62" t="n">
        <f aca="false">I260-COS(RADIANS(D260+E260/60+F260/3600))/SIN(RADIANS(D260+E260/60+F260/3600))*RADIANS(Q260/3600)/LN(10)</f>
        <v>9.89154197186475</v>
      </c>
      <c r="S260" s="65" t="n">
        <f aca="false">S262+R260-R262</f>
        <v>4.29932692490184</v>
      </c>
      <c r="T260" s="65" t="n">
        <f aca="false">T262+J260-J262</f>
        <v>4.29933468431573</v>
      </c>
      <c r="U260" s="67" t="n">
        <f aca="false">Summary!$C$6*ASIN(10^O260/Summary!$C$6)</f>
        <v>19922.2558092454</v>
      </c>
      <c r="V260" s="68" t="n">
        <v>19922.2558</v>
      </c>
      <c r="W260" s="69" t="n">
        <f aca="false">IF(V260="","",(V260-U260)*Summary!$C$7*1000)</f>
        <v>-0.0180195789354093</v>
      </c>
      <c r="X260" s="70" t="n">
        <f aca="false">U260*Summary!$C$7</f>
        <v>38829.2055571994</v>
      </c>
      <c r="Y260" s="71" t="n">
        <f aca="false">(D260+D261+D262-180)*3600+(E260+E261+E262)*60+F260+F261+F262-(G260+G261+G262)</f>
        <v>1</v>
      </c>
    </row>
    <row r="261" customFormat="false" ht="15" hidden="false" customHeight="false" outlineLevel="0" collapsed="false">
      <c r="A261" s="58" t="n">
        <v>86</v>
      </c>
      <c r="B261" s="58" t="s">
        <v>330</v>
      </c>
      <c r="C261" s="58" t="s">
        <v>335</v>
      </c>
      <c r="D261" s="59" t="n">
        <v>83</v>
      </c>
      <c r="E261" s="59" t="n">
        <v>15</v>
      </c>
      <c r="F261" s="60" t="n">
        <v>22.36</v>
      </c>
      <c r="G261" s="60" t="n">
        <v>0.55</v>
      </c>
      <c r="H261" s="61" t="n">
        <v>9.996984757</v>
      </c>
      <c r="I261" s="62" t="n">
        <f aca="false">H261</f>
        <v>9.996984757</v>
      </c>
      <c r="J261" s="62" t="n">
        <f aca="false">10+LOG10(SIN(RADIANS(D261+E261/60+F261/3600)))</f>
        <v>9.99698475714899</v>
      </c>
      <c r="K261" s="63" t="n">
        <f aca="false">(I261-J261)*10000000000</f>
        <v>-1.48986600834178</v>
      </c>
      <c r="L261" s="64" t="s">
        <v>100</v>
      </c>
      <c r="M261" s="64"/>
      <c r="N261" s="61" t="n">
        <v>4.4047785216</v>
      </c>
      <c r="O261" s="65" t="n">
        <f aca="false">O262+I261-I262</f>
        <v>4.40477852109999</v>
      </c>
      <c r="P261" s="66" t="n">
        <f aca="false">IF(N261="","",(O261-N261)*10000000000)</f>
        <v>-5.00013364046481</v>
      </c>
      <c r="Q261" s="59" t="n">
        <v>0.05</v>
      </c>
      <c r="R261" s="62" t="n">
        <f aca="false">I261-COS(RADIANS(D261+E261/60+F261/3600))/SIN(RADIANS(D261+E261/60+F261/3600))*RADIANS(Q261/3600)/LN(10)</f>
        <v>9.99698474455134</v>
      </c>
      <c r="S261" s="65" t="n">
        <f aca="false">S262+R261-R262</f>
        <v>4.40476969758844</v>
      </c>
      <c r="T261" s="65" t="n">
        <f aca="false">T262+J261-J262</f>
        <v>4.40477738486298</v>
      </c>
      <c r="U261" s="67" t="n">
        <f aca="false">Summary!$C$6*ASIN(10^O261/Summary!$C$6)</f>
        <v>25397.0278562198</v>
      </c>
      <c r="V261" s="68" t="n">
        <v>25397.0279</v>
      </c>
      <c r="W261" s="69" t="n">
        <f aca="false">IF(V261="","",(V261-U261)*Summary!$C$7*1000)</f>
        <v>0.0853292916110177</v>
      </c>
      <c r="X261" s="70" t="n">
        <f aca="false">U261*Summary!$C$7</f>
        <v>49499.736606807</v>
      </c>
      <c r="Y261" s="64"/>
    </row>
    <row r="262" customFormat="false" ht="15" hidden="false" customHeight="false" outlineLevel="0" collapsed="false">
      <c r="A262" s="72" t="n">
        <v>86</v>
      </c>
      <c r="B262" s="72" t="s">
        <v>336</v>
      </c>
      <c r="C262" s="72" t="s">
        <v>337</v>
      </c>
      <c r="D262" s="73" t="n">
        <v>45</v>
      </c>
      <c r="E262" s="73" t="n">
        <v>34</v>
      </c>
      <c r="F262" s="74" t="n">
        <v>29.62</v>
      </c>
      <c r="G262" s="74" t="n">
        <v>0.94</v>
      </c>
      <c r="H262" s="75" t="n">
        <v>9.8537991927</v>
      </c>
      <c r="I262" s="76" t="n">
        <f aca="false">H262</f>
        <v>9.8537991927</v>
      </c>
      <c r="J262" s="76" t="n">
        <f aca="false">10+LOG10(SIN(RADIANS(D262+E262/60+F262/3600)))</f>
        <v>9.8537991925691</v>
      </c>
      <c r="K262" s="77" t="n">
        <f aca="false">(I262-J262)*10000000000</f>
        <v>1.30901511852244</v>
      </c>
      <c r="L262" s="78" t="s">
        <v>103</v>
      </c>
      <c r="M262" s="78" t="n">
        <v>85</v>
      </c>
      <c r="N262" s="79"/>
      <c r="O262" s="79" t="n">
        <f aca="false">O257</f>
        <v>4.26159295679999</v>
      </c>
      <c r="P262" s="80"/>
      <c r="Q262" s="73" t="n">
        <v>-0.1</v>
      </c>
      <c r="R262" s="76" t="n">
        <f aca="false">I262-COS(RADIANS(D262+E262/60+F262/3600))/SIN(RADIANS(D262+E262/60+F262/3600))*RADIANS(Q262/3600)/LN(10)</f>
        <v>9.85379939906847</v>
      </c>
      <c r="S262" s="79" t="n">
        <f aca="false">S257</f>
        <v>4.26158435210557</v>
      </c>
      <c r="T262" s="79" t="n">
        <f aca="false">T257</f>
        <v>4.26159182028309</v>
      </c>
      <c r="U262" s="81"/>
      <c r="V262" s="81"/>
      <c r="W262" s="82"/>
      <c r="X262" s="83"/>
      <c r="Y262" s="78"/>
    </row>
    <row r="263" customFormat="false" ht="15" hidden="false" customHeight="false" outlineLevel="0" collapsed="false">
      <c r="A263" s="5" t="n">
        <v>87</v>
      </c>
      <c r="B263" s="5" t="s">
        <v>333</v>
      </c>
      <c r="C263" s="5" t="s">
        <v>338</v>
      </c>
      <c r="D263" s="38" t="n">
        <v>40</v>
      </c>
      <c r="E263" s="38" t="n">
        <v>19</v>
      </c>
      <c r="F263" s="30" t="n">
        <v>25.66</v>
      </c>
      <c r="G263" s="30" t="n">
        <v>1.07</v>
      </c>
      <c r="H263" s="16" t="n">
        <v>9.8109757305</v>
      </c>
      <c r="I263" s="12" t="n">
        <f aca="false">H263</f>
        <v>9.8109757305</v>
      </c>
      <c r="J263" s="12" t="n">
        <f aca="false">10+LOG10(SIN(RADIANS(D263+E263/60+F263/3600)))</f>
        <v>9.81097573088252</v>
      </c>
      <c r="K263" s="25" t="n">
        <f aca="false">(I263-J263)*10000000000</f>
        <v>-3.82515352725932</v>
      </c>
      <c r="L263" s="39" t="s">
        <v>100</v>
      </c>
      <c r="N263" s="16" t="n">
        <v>4.2321134693</v>
      </c>
      <c r="O263" s="40" t="n">
        <f aca="false">O265+I263-I265</f>
        <v>4.23211346889999</v>
      </c>
      <c r="P263" s="41" t="n">
        <f aca="false">IF(N263="","",(O263-N263)*10000000000)</f>
        <v>-4.00014243950864</v>
      </c>
      <c r="Q263" s="38" t="n">
        <v>0.05</v>
      </c>
      <c r="R263" s="12" t="n">
        <f aca="false">I263-COS(RADIANS(D263+E263/60+F263/3600))/SIN(RADIANS(D263+E263/60+F263/3600))*RADIANS(Q263/3600)/LN(10)</f>
        <v>9.81097560646732</v>
      </c>
      <c r="S263" s="40" t="n">
        <f aca="false">S265+R263-R265</f>
        <v>4.23210446245861</v>
      </c>
      <c r="T263" s="40" t="n">
        <f aca="false">T265+J263-J265</f>
        <v>4.23211233303179</v>
      </c>
      <c r="U263" s="42" t="n">
        <f aca="false">Summary!$C$6*ASIN(10^O263/Summary!$C$6)</f>
        <v>17065.3595904302</v>
      </c>
      <c r="V263" s="15" t="n">
        <v>17065.3596</v>
      </c>
      <c r="W263" s="43" t="n">
        <f aca="false">IF(V263="","",(V263-U263)*Summary!$C$7*1000)</f>
        <v>0.0186519428867641</v>
      </c>
      <c r="X263" s="44" t="n">
        <f aca="false">U263*Summary!$C$7</f>
        <v>33261.0102886455</v>
      </c>
      <c r="Y263" s="26" t="n">
        <f aca="false">(D263+D264+D265-180)*3600+(E263+E264+E265)*60+F263+F264+F265-(G263+G264+G265)</f>
        <v>0</v>
      </c>
    </row>
    <row r="264" customFormat="false" ht="15" hidden="false" customHeight="false" outlineLevel="0" collapsed="false">
      <c r="A264" s="5" t="n">
        <v>87</v>
      </c>
      <c r="B264" s="5" t="s">
        <v>336</v>
      </c>
      <c r="C264" s="5" t="s">
        <v>339</v>
      </c>
      <c r="D264" s="38" t="n">
        <v>65</v>
      </c>
      <c r="E264" s="38" t="n">
        <v>18</v>
      </c>
      <c r="F264" s="30" t="n">
        <v>18.08</v>
      </c>
      <c r="G264" s="30" t="n">
        <v>1.28</v>
      </c>
      <c r="H264" s="16" t="n">
        <v>9.9583463479</v>
      </c>
      <c r="I264" s="12" t="n">
        <f aca="false">H264</f>
        <v>9.9583463479</v>
      </c>
      <c r="J264" s="12" t="n">
        <f aca="false">10+LOG10(SIN(RADIANS(D264+E264/60+F264/3600)))</f>
        <v>9.95834634797097</v>
      </c>
      <c r="K264" s="25" t="n">
        <f aca="false">(I264-J264)*10000000000</f>
        <v>-0.709707848045582</v>
      </c>
      <c r="L264" s="39" t="s">
        <v>100</v>
      </c>
      <c r="N264" s="16" t="n">
        <v>4.3794840867</v>
      </c>
      <c r="O264" s="40" t="n">
        <f aca="false">O265+I264-I265</f>
        <v>4.37948408629999</v>
      </c>
      <c r="P264" s="41" t="n">
        <f aca="false">IF(N264="","",(O264-N264)*10000000000)</f>
        <v>-4.00014243950864</v>
      </c>
      <c r="Q264" s="38" t="n">
        <v>0.05</v>
      </c>
      <c r="R264" s="12" t="n">
        <f aca="false">I264-COS(RADIANS(D264+E264/60+F264/3600))/SIN(RADIANS(D264+E264/60+F264/3600))*RADIANS(Q264/3600)/LN(10)</f>
        <v>9.95834629948965</v>
      </c>
      <c r="S264" s="40" t="n">
        <f aca="false">S265+R264-R265</f>
        <v>4.37947515548095</v>
      </c>
      <c r="T264" s="40" t="n">
        <f aca="false">T265+J264-J265</f>
        <v>4.37948295012025</v>
      </c>
      <c r="U264" s="42" t="n">
        <f aca="false">Summary!$C$6*ASIN(10^O264/Summary!$C$6)</f>
        <v>23960.0643179254</v>
      </c>
      <c r="V264" s="15" t="n">
        <v>23960.5881</v>
      </c>
      <c r="W264" s="43" t="n">
        <f aca="false">IF(V264="","",(V264-U264)*Summary!$C$7*1000)</f>
        <v>1020.87042941869</v>
      </c>
      <c r="X264" s="44" t="n">
        <f aca="false">U264*Summary!$C$7</f>
        <v>46699.0420900375</v>
      </c>
    </row>
    <row r="265" customFormat="false" ht="15" hidden="false" customHeight="false" outlineLevel="0" collapsed="false">
      <c r="A265" s="45" t="n">
        <v>87</v>
      </c>
      <c r="B265" s="45" t="s">
        <v>340</v>
      </c>
      <c r="C265" s="45" t="s">
        <v>335</v>
      </c>
      <c r="D265" s="46" t="n">
        <v>74</v>
      </c>
      <c r="E265" s="46" t="n">
        <v>22</v>
      </c>
      <c r="F265" s="47" t="n">
        <v>20.05</v>
      </c>
      <c r="G265" s="47" t="n">
        <v>1.44</v>
      </c>
      <c r="H265" s="48" t="n">
        <v>9.9836407827</v>
      </c>
      <c r="I265" s="49" t="n">
        <f aca="false">H265</f>
        <v>9.9836407827</v>
      </c>
      <c r="J265" s="49" t="n">
        <f aca="false">10+LOG10(SIN(RADIANS(D265+E265/60+F265/3600)))</f>
        <v>9.9836407827137</v>
      </c>
      <c r="K265" s="50" t="n">
        <f aca="false">(I265-J265)*10000000000</f>
        <v>-0.137028166591335</v>
      </c>
      <c r="L265" s="51" t="s">
        <v>103</v>
      </c>
      <c r="M265" s="51" t="n">
        <v>86</v>
      </c>
      <c r="N265" s="52"/>
      <c r="O265" s="52" t="n">
        <f aca="false">O261</f>
        <v>4.40477852109999</v>
      </c>
      <c r="P265" s="53"/>
      <c r="Q265" s="46" t="n">
        <v>-0.1</v>
      </c>
      <c r="R265" s="49" t="n">
        <f aca="false">I265-COS(RADIANS(D265+E265/60+F265/3600))/SIN(RADIANS(D265+E265/60+F265/3600))*RADIANS(Q265/3600)/LN(10)</f>
        <v>9.98364084159715</v>
      </c>
      <c r="S265" s="52" t="n">
        <f aca="false">S261</f>
        <v>4.40476969758844</v>
      </c>
      <c r="T265" s="52" t="n">
        <f aca="false">T261</f>
        <v>4.40477738486298</v>
      </c>
      <c r="U265" s="54"/>
      <c r="V265" s="54"/>
      <c r="W265" s="56"/>
      <c r="X265" s="57"/>
      <c r="Y265" s="51"/>
    </row>
    <row r="266" customFormat="false" ht="15" hidden="false" customHeight="false" outlineLevel="0" collapsed="false">
      <c r="A266" s="58" t="n">
        <v>88</v>
      </c>
      <c r="B266" s="58" t="s">
        <v>336</v>
      </c>
      <c r="C266" s="58" t="s">
        <v>341</v>
      </c>
      <c r="D266" s="59" t="n">
        <v>57</v>
      </c>
      <c r="E266" s="59" t="n">
        <v>30</v>
      </c>
      <c r="F266" s="60" t="n">
        <v>4</v>
      </c>
      <c r="G266" s="60" t="n">
        <v>1.12</v>
      </c>
      <c r="H266" s="61" t="n">
        <v>9.9260345569</v>
      </c>
      <c r="I266" s="62" t="n">
        <f aca="false">H266</f>
        <v>9.9260345569</v>
      </c>
      <c r="J266" s="62" t="n">
        <f aca="false">10+LOG10(SIN(RADIANS(D266+E266/60+F266/3600)))</f>
        <v>9.92603455716289</v>
      </c>
      <c r="K266" s="63" t="n">
        <f aca="false">(I266-J266)*10000000000</f>
        <v>-2.6289193044704</v>
      </c>
      <c r="L266" s="64" t="s">
        <v>100</v>
      </c>
      <c r="M266" s="64"/>
      <c r="N266" s="61" t="n">
        <v>4.4019859599</v>
      </c>
      <c r="O266" s="65" t="n">
        <f aca="false">O268+I266-I268</f>
        <v>4.40198595939999</v>
      </c>
      <c r="P266" s="66" t="n">
        <f aca="false">IF(N266="","",(O266-N266)*10000000000)</f>
        <v>-5.0001514040332</v>
      </c>
      <c r="Q266" s="59" t="n">
        <v>0.05</v>
      </c>
      <c r="R266" s="62" t="n">
        <f aca="false">I266-COS(RADIANS(D266+E266/60+F266/3600))/SIN(RADIANS(D266+E266/60+F266/3600))*RADIANS(Q266/3600)/LN(10)</f>
        <v>9.92603448983469</v>
      </c>
      <c r="S266" s="65" t="n">
        <f aca="false">S268+R266-R268</f>
        <v>4.4019765826838</v>
      </c>
      <c r="T266" s="65" t="n">
        <f aca="false">T268+J266-J268</f>
        <v>4.40198482330347</v>
      </c>
      <c r="U266" s="67" t="n">
        <f aca="false">Summary!$C$6*ASIN(10^O266/Summary!$C$6)</f>
        <v>25234.2428151901</v>
      </c>
      <c r="V266" s="68" t="n">
        <v>25234.2447</v>
      </c>
      <c r="W266" s="69" t="n">
        <f aca="false">IF(V266="","",(V266-U266)*Summary!$C$7*1000)</f>
        <v>3.67356343261381</v>
      </c>
      <c r="X266" s="70" t="n">
        <f aca="false">U266*Summary!$C$7</f>
        <v>49182.4626052934</v>
      </c>
      <c r="Y266" s="71" t="n">
        <f aca="false">(D266+D267+D268-180)*3600+(E266+E267+E268)*60+F266+F267+F268-(G266+G267+G268)</f>
        <v>0</v>
      </c>
    </row>
    <row r="267" customFormat="false" ht="15" hidden="false" customHeight="false" outlineLevel="0" collapsed="false">
      <c r="A267" s="58" t="n">
        <v>88</v>
      </c>
      <c r="B267" s="58" t="s">
        <v>340</v>
      </c>
      <c r="C267" s="58" t="s">
        <v>342</v>
      </c>
      <c r="D267" s="59" t="n">
        <v>87</v>
      </c>
      <c r="E267" s="59" t="n">
        <v>43</v>
      </c>
      <c r="F267" s="60" t="n">
        <v>24.66</v>
      </c>
      <c r="G267" s="60" t="n">
        <v>1.98</v>
      </c>
      <c r="H267" s="61" t="n">
        <v>9.9996571118</v>
      </c>
      <c r="I267" s="62" t="n">
        <f aca="false">H267</f>
        <v>9.9996571118</v>
      </c>
      <c r="J267" s="62" t="n">
        <f aca="false">10+LOG10(SIN(RADIANS(D267+E267/60+F267/3600)))</f>
        <v>9.9996571119893</v>
      </c>
      <c r="K267" s="63" t="n">
        <f aca="false">(I267-J267)*10000000000</f>
        <v>-1.89297466590688</v>
      </c>
      <c r="L267" s="64" t="s">
        <v>100</v>
      </c>
      <c r="M267" s="64"/>
      <c r="N267" s="61" t="n">
        <v>4.4756085147</v>
      </c>
      <c r="O267" s="65" t="n">
        <f aca="false">O268+I267-I268</f>
        <v>4.47560851429999</v>
      </c>
      <c r="P267" s="66" t="n">
        <f aca="false">IF(N267="","",(O267-N267)*10000000000)</f>
        <v>-4.00015132129283</v>
      </c>
      <c r="Q267" s="59" t="n">
        <v>0.05</v>
      </c>
      <c r="R267" s="62" t="n">
        <f aca="false">I267-COS(RADIANS(D267+E267/60+F267/3600))/SIN(RADIANS(D267+E267/60+F267/3600))*RADIANS(Q267/3600)/LN(10)</f>
        <v>9.99965710761496</v>
      </c>
      <c r="S267" s="65" t="n">
        <f aca="false">S268+R267-R268</f>
        <v>4.47559920046407</v>
      </c>
      <c r="T267" s="65" t="n">
        <f aca="false">T268+J267-J268</f>
        <v>4.47560737812988</v>
      </c>
      <c r="U267" s="67" t="n">
        <f aca="false">Summary!$C$6*ASIN(10^O267/Summary!$C$6)</f>
        <v>29896.1026191625</v>
      </c>
      <c r="V267" s="68" t="n">
        <v>29896.1026</v>
      </c>
      <c r="W267" s="69" t="n">
        <f aca="false">IF(V267="","",(V267-U267)*Summary!$C$7*1000)</f>
        <v>-0.0373483506364962</v>
      </c>
      <c r="X267" s="70" t="n">
        <f aca="false">U267*Summary!$C$7</f>
        <v>58268.5979476216</v>
      </c>
      <c r="Y267" s="64"/>
    </row>
    <row r="268" customFormat="false" ht="15" hidden="false" customHeight="false" outlineLevel="0" collapsed="false">
      <c r="A268" s="72" t="n">
        <v>88</v>
      </c>
      <c r="B268" s="72" t="s">
        <v>343</v>
      </c>
      <c r="C268" s="72" t="s">
        <v>338</v>
      </c>
      <c r="D268" s="73" t="n">
        <v>34</v>
      </c>
      <c r="E268" s="73" t="n">
        <v>46</v>
      </c>
      <c r="F268" s="74" t="n">
        <v>35.49</v>
      </c>
      <c r="G268" s="74" t="n">
        <v>1.05</v>
      </c>
      <c r="H268" s="75" t="n">
        <v>9.7561620664</v>
      </c>
      <c r="I268" s="76" t="n">
        <f aca="false">H268</f>
        <v>9.7561620664</v>
      </c>
      <c r="J268" s="76" t="n">
        <f aca="false">10+LOG10(SIN(RADIANS(D268+E268/60+F268/3600)))</f>
        <v>9.75616206689121</v>
      </c>
      <c r="K268" s="77" t="n">
        <f aca="false">(I268-J268)*10000000000</f>
        <v>-4.91207075015154</v>
      </c>
      <c r="L268" s="78" t="s">
        <v>103</v>
      </c>
      <c r="M268" s="78" t="n">
        <v>87</v>
      </c>
      <c r="N268" s="79"/>
      <c r="O268" s="79" t="n">
        <f aca="false">O263</f>
        <v>4.23211346889999</v>
      </c>
      <c r="P268" s="80"/>
      <c r="Q268" s="73" t="n">
        <v>-0.1</v>
      </c>
      <c r="R268" s="76" t="n">
        <f aca="false">I268-COS(RADIANS(D268+E268/60+F268/3600))/SIN(RADIANS(D268+E268/60+F268/3600))*RADIANS(Q268/3600)/LN(10)</f>
        <v>9.7561623696095</v>
      </c>
      <c r="S268" s="79" t="n">
        <f aca="false">S263</f>
        <v>4.23210446245861</v>
      </c>
      <c r="T268" s="79" t="n">
        <f aca="false">T263</f>
        <v>4.23211233303179</v>
      </c>
      <c r="U268" s="81"/>
      <c r="V268" s="81"/>
      <c r="W268" s="82"/>
      <c r="X268" s="83"/>
      <c r="Y268" s="78"/>
    </row>
    <row r="269" customFormat="false" ht="15" hidden="false" customHeight="false" outlineLevel="0" collapsed="false">
      <c r="A269" s="5" t="n">
        <v>89</v>
      </c>
      <c r="B269" s="5" t="s">
        <v>340</v>
      </c>
      <c r="C269" s="5" t="s">
        <v>344</v>
      </c>
      <c r="D269" s="38" t="n">
        <v>34</v>
      </c>
      <c r="E269" s="38" t="n">
        <v>12</v>
      </c>
      <c r="F269" s="30" t="n">
        <v>36.16</v>
      </c>
      <c r="G269" s="30" t="n">
        <v>0.72</v>
      </c>
      <c r="H269" s="16" t="n">
        <v>9.7499127509</v>
      </c>
      <c r="I269" s="12" t="n">
        <f aca="false">H269</f>
        <v>9.7499127509</v>
      </c>
      <c r="J269" s="12" t="n">
        <f aca="false">10+LOG10(SIN(RADIANS(D269+E269/60+F269/3600)))</f>
        <v>9.74991275132654</v>
      </c>
      <c r="K269" s="25" t="n">
        <f aca="false">(I269-J269)*10000000000</f>
        <v>-4.26535251563109</v>
      </c>
      <c r="L269" s="39" t="s">
        <v>100</v>
      </c>
      <c r="N269" s="16" t="n">
        <v>4.151901637</v>
      </c>
      <c r="O269" s="40" t="n">
        <f aca="false">O271+I269-I271</f>
        <v>4.15190163669999</v>
      </c>
      <c r="P269" s="41" t="n">
        <f aca="false">IF(N269="","",(O269-N269)*10000000000)</f>
        <v>-3.00014235676827</v>
      </c>
      <c r="Q269" s="38" t="n">
        <v>0.05</v>
      </c>
      <c r="R269" s="12" t="n">
        <f aca="false">I269-COS(RADIANS(D269+E269/60+F269/3600))/SIN(RADIANS(D269+E269/60+F269/3600))*RADIANS(Q269/3600)/LN(10)</f>
        <v>9.74991259604954</v>
      </c>
      <c r="S269" s="40" t="n">
        <f aca="false">S271+R269-R271</f>
        <v>4.15189210436042</v>
      </c>
      <c r="T269" s="40" t="n">
        <f aca="false">T271+J269-J271</f>
        <v>4.15190050082521</v>
      </c>
      <c r="U269" s="42" t="n">
        <f aca="false">Summary!$C$6*ASIN(10^O269/Summary!$C$6)</f>
        <v>14187.4061513952</v>
      </c>
      <c r="V269" s="15" t="n">
        <v>14187.4062</v>
      </c>
      <c r="W269" s="43" t="n">
        <f aca="false">IF(V269="","",(V269-U269)*Summary!$C$7*1000)</f>
        <v>0.0947325890890192</v>
      </c>
      <c r="X269" s="44" t="n">
        <f aca="false">U269*Summary!$C$7</f>
        <v>27651.7737273681</v>
      </c>
      <c r="Y269" s="26" t="n">
        <f aca="false">(D269+D270+D271-180)*3600+(E269+E270+E271)*60+F269+F270+F271-(G269+G270+G271)</f>
        <v>0</v>
      </c>
    </row>
    <row r="270" customFormat="false" ht="15" hidden="false" customHeight="false" outlineLevel="0" collapsed="false">
      <c r="A270" s="5" t="n">
        <v>89</v>
      </c>
      <c r="B270" s="5" t="s">
        <v>343</v>
      </c>
      <c r="C270" s="5" t="s">
        <v>345</v>
      </c>
      <c r="D270" s="38" t="n">
        <v>56</v>
      </c>
      <c r="E270" s="38" t="n">
        <v>0</v>
      </c>
      <c r="F270" s="30" t="n">
        <v>3.88</v>
      </c>
      <c r="G270" s="30" t="n">
        <v>0.72</v>
      </c>
      <c r="H270" s="16" t="n">
        <v>9.9185797236</v>
      </c>
      <c r="I270" s="12" t="n">
        <f aca="false">H270</f>
        <v>9.9185797236</v>
      </c>
      <c r="J270" s="12" t="n">
        <f aca="false">10+LOG10(SIN(RADIANS(D270+E270/60+F270/3600)))</f>
        <v>9.9185797237495</v>
      </c>
      <c r="K270" s="25" t="n">
        <f aca="false">(I270-J270)*10000000000</f>
        <v>-1.49503520674443</v>
      </c>
      <c r="L270" s="39" t="s">
        <v>100</v>
      </c>
      <c r="N270" s="16" t="n">
        <v>4.3205686096</v>
      </c>
      <c r="O270" s="40" t="n">
        <f aca="false">O271+I270-I271</f>
        <v>4.32056860939999</v>
      </c>
      <c r="P270" s="41" t="n">
        <f aca="false">IF(N270="","",(O270-N270)*10000000000)</f>
        <v>-2.00014227402789</v>
      </c>
      <c r="Q270" s="38" t="n">
        <v>0.05</v>
      </c>
      <c r="R270" s="12" t="n">
        <f aca="false">I270-COS(RADIANS(D270+E270/60+F270/3600))/SIN(RADIANS(D270+E270/60+F270/3600))*RADIANS(Q270/3600)/LN(10)</f>
        <v>9.91857965259336</v>
      </c>
      <c r="S270" s="40" t="n">
        <f aca="false">S271+R270-R271</f>
        <v>4.32055916090423</v>
      </c>
      <c r="T270" s="40" t="n">
        <f aca="false">T271+J270-J271</f>
        <v>4.32056747324817</v>
      </c>
      <c r="U270" s="42" t="n">
        <f aca="false">Summary!$C$6*ASIN(10^O270/Summary!$C$6)</f>
        <v>20920.4767589313</v>
      </c>
      <c r="V270" s="15" t="n">
        <v>20920.4776</v>
      </c>
      <c r="W270" s="43" t="n">
        <f aca="false">IF(V270="","",(V270-U270)*Summary!$C$7*1000)</f>
        <v>1.63927373002811</v>
      </c>
      <c r="X270" s="44" t="n">
        <f aca="false">U270*Summary!$C$7</f>
        <v>40774.7747145269</v>
      </c>
    </row>
    <row r="271" customFormat="false" ht="15" hidden="false" customHeight="false" outlineLevel="0" collapsed="false">
      <c r="A271" s="45" t="n">
        <v>89</v>
      </c>
      <c r="B271" s="45" t="s">
        <v>346</v>
      </c>
      <c r="C271" s="45" t="s">
        <v>341</v>
      </c>
      <c r="D271" s="46" t="n">
        <v>89</v>
      </c>
      <c r="E271" s="46" t="n">
        <v>47</v>
      </c>
      <c r="F271" s="47" t="n">
        <v>22.82</v>
      </c>
      <c r="G271" s="47" t="n">
        <v>1.42</v>
      </c>
      <c r="H271" s="48" t="n">
        <v>9.9999970736</v>
      </c>
      <c r="I271" s="49" t="n">
        <f aca="false">H271</f>
        <v>9.9999970736</v>
      </c>
      <c r="J271" s="49" t="n">
        <f aca="false">10+LOG10(SIN(RADIANS(D271+E271/60+F271/3600)))</f>
        <v>9.99999707380481</v>
      </c>
      <c r="K271" s="50" t="n">
        <f aca="false">(I271-J271)*10000000000</f>
        <v>-2.04805061798652</v>
      </c>
      <c r="L271" s="51" t="s">
        <v>103</v>
      </c>
      <c r="M271" s="51" t="n">
        <v>88</v>
      </c>
      <c r="N271" s="52"/>
      <c r="O271" s="52" t="n">
        <f aca="false">O266</f>
        <v>4.40198595939999</v>
      </c>
      <c r="P271" s="53"/>
      <c r="Q271" s="46" t="n">
        <v>-0.1</v>
      </c>
      <c r="R271" s="49" t="n">
        <f aca="false">I271-COS(RADIANS(D271+E271/60+F271/3600))/SIN(RADIANS(D271+E271/60+F271/3600))*RADIANS(Q271/3600)/LN(10)</f>
        <v>9.99999707437292</v>
      </c>
      <c r="S271" s="52" t="n">
        <f aca="false">S266</f>
        <v>4.4019765826838</v>
      </c>
      <c r="T271" s="52" t="n">
        <f aca="false">T266</f>
        <v>4.40198482330347</v>
      </c>
      <c r="U271" s="54"/>
      <c r="V271" s="54"/>
      <c r="W271" s="56"/>
      <c r="X271" s="57"/>
      <c r="Y271" s="51"/>
    </row>
    <row r="272" customFormat="false" ht="15" hidden="false" customHeight="false" outlineLevel="0" collapsed="false">
      <c r="A272" s="58" t="n">
        <v>90</v>
      </c>
      <c r="B272" s="58" t="s">
        <v>343</v>
      </c>
      <c r="C272" s="58" t="s">
        <v>347</v>
      </c>
      <c r="D272" s="59" t="n">
        <v>40</v>
      </c>
      <c r="E272" s="59" t="n">
        <v>1</v>
      </c>
      <c r="F272" s="60" t="n">
        <v>11.1</v>
      </c>
      <c r="G272" s="60" t="n">
        <v>0.4</v>
      </c>
      <c r="H272" s="61" t="n">
        <v>9.8082458425</v>
      </c>
      <c r="I272" s="62" t="n">
        <f aca="false">H272</f>
        <v>9.8082458425</v>
      </c>
      <c r="J272" s="62" t="n">
        <f aca="false">10+LOG10(SIN(RADIANS(D272+E272/60+F272/3600)))</f>
        <v>9.80824584270257</v>
      </c>
      <c r="K272" s="63" t="n">
        <f aca="false">(I272-J272)*10000000000</f>
        <v>-2.02572181251526</v>
      </c>
      <c r="L272" s="64" t="s">
        <v>100</v>
      </c>
      <c r="M272" s="64"/>
      <c r="N272" s="61" t="n">
        <v>4.1059606679</v>
      </c>
      <c r="O272" s="65" t="n">
        <f aca="false">O274+I272-I274</f>
        <v>4.10596066759999</v>
      </c>
      <c r="P272" s="66" t="n">
        <f aca="false">IF(N272="","",(O272-N272)*10000000000)</f>
        <v>-3.00014235676827</v>
      </c>
      <c r="Q272" s="59" t="n">
        <v>0.05</v>
      </c>
      <c r="R272" s="62" t="n">
        <f aca="false">I272-COS(RADIANS(D272+E272/60+F272/3600))/SIN(RADIANS(D272+E272/60+F272/3600))*RADIANS(Q272/3600)/LN(10)</f>
        <v>9.8082457171248</v>
      </c>
      <c r="S272" s="65" t="n">
        <f aca="false">S274+R272-R274</f>
        <v>4.10595080389268</v>
      </c>
      <c r="T272" s="65" t="n">
        <f aca="false">T274+J272-J274</f>
        <v>4.10595953171345</v>
      </c>
      <c r="U272" s="67" t="n">
        <f aca="false">Summary!$C$6*ASIN(10^O272/Summary!$C$6)</f>
        <v>12763.2645847551</v>
      </c>
      <c r="V272" s="68" t="n">
        <v>12763.2646</v>
      </c>
      <c r="W272" s="69" t="n">
        <f aca="false">IF(V272="","",(V272-U272)*Summary!$C$7*1000)</f>
        <v>0.0297128416732056</v>
      </c>
      <c r="X272" s="70" t="n">
        <f aca="false">U272*Summary!$C$7</f>
        <v>24876.0697025279</v>
      </c>
      <c r="Y272" s="71" t="n">
        <f aca="false">(D272+D273+D274-180)*3600+(E272+E273+E274)*60+F272+F273+F274-(G272+G273+G274)</f>
        <v>0</v>
      </c>
    </row>
    <row r="273" customFormat="false" ht="15" hidden="false" customHeight="false" outlineLevel="0" collapsed="false">
      <c r="A273" s="58" t="n">
        <v>90</v>
      </c>
      <c r="B273" s="58" t="s">
        <v>346</v>
      </c>
      <c r="C273" s="58" t="s">
        <v>348</v>
      </c>
      <c r="D273" s="59" t="n">
        <v>94</v>
      </c>
      <c r="E273" s="59" t="n">
        <v>21</v>
      </c>
      <c r="F273" s="60" t="n">
        <v>13.02</v>
      </c>
      <c r="G273" s="60" t="n">
        <v>0.94</v>
      </c>
      <c r="H273" s="61" t="n">
        <v>9.9987450459</v>
      </c>
      <c r="I273" s="62" t="n">
        <f aca="false">H273</f>
        <v>9.9987450459</v>
      </c>
      <c r="J273" s="62" t="n">
        <f aca="false">10+LOG10(SIN(RADIANS(D273+E273/60+F273/3600)))</f>
        <v>9.99874504606962</v>
      </c>
      <c r="K273" s="63" t="n">
        <f aca="false">(I273-J273)*10000000000</f>
        <v>-1.69620761880651</v>
      </c>
      <c r="L273" s="64" t="s">
        <v>100</v>
      </c>
      <c r="M273" s="64"/>
      <c r="N273" s="61" t="n">
        <v>4.2964598713</v>
      </c>
      <c r="O273" s="65" t="n">
        <f aca="false">O274+I273-I274</f>
        <v>4.29645987099999</v>
      </c>
      <c r="P273" s="66" t="n">
        <f aca="false">IF(N273="","",(O273-N273)*10000000000)</f>
        <v>-3.00014235676827</v>
      </c>
      <c r="Q273" s="59" t="n">
        <v>0.05</v>
      </c>
      <c r="R273" s="62" t="n">
        <f aca="false">I273-COS(RADIANS(D273+E273/60+F273/3600))/SIN(RADIANS(D273+E273/60+F273/3600))*RADIANS(Q273/3600)/LN(10)</f>
        <v>9.99874505391482</v>
      </c>
      <c r="S273" s="65" t="n">
        <f aca="false">S274+R273-R274</f>
        <v>4.2964501406827</v>
      </c>
      <c r="T273" s="65" t="n">
        <f aca="false">T274+J273-J274</f>
        <v>4.2964587350805</v>
      </c>
      <c r="U273" s="67" t="n">
        <f aca="false">Summary!$C$6*ASIN(10^O273/Summary!$C$6)</f>
        <v>19790.7625058952</v>
      </c>
      <c r="V273" s="68" t="n">
        <v>19790.7625</v>
      </c>
      <c r="W273" s="69" t="n">
        <f aca="false">IF(V273="","",(V273-U273)*Summary!$C$7*1000)</f>
        <v>-0.0114899942863313</v>
      </c>
      <c r="X273" s="70" t="n">
        <f aca="false">U273*Summary!$C$7</f>
        <v>38572.9202974343</v>
      </c>
      <c r="Y273" s="64"/>
    </row>
    <row r="274" customFormat="false" ht="15" hidden="false" customHeight="false" outlineLevel="0" collapsed="false">
      <c r="A274" s="72" t="n">
        <v>90</v>
      </c>
      <c r="B274" s="72" t="s">
        <v>349</v>
      </c>
      <c r="C274" s="72" t="s">
        <v>344</v>
      </c>
      <c r="D274" s="73" t="n">
        <v>45</v>
      </c>
      <c r="E274" s="73" t="n">
        <v>37</v>
      </c>
      <c r="F274" s="74" t="n">
        <v>37.62</v>
      </c>
      <c r="G274" s="74" t="n">
        <v>0.4</v>
      </c>
      <c r="H274" s="75" t="n">
        <v>9.8541868116</v>
      </c>
      <c r="I274" s="76" t="n">
        <f aca="false">H274</f>
        <v>9.8541868116</v>
      </c>
      <c r="J274" s="76" t="n">
        <f aca="false">10+LOG10(SIN(RADIANS(D274+E274/60+F274/3600)))</f>
        <v>9.85418681181433</v>
      </c>
      <c r="K274" s="77" t="n">
        <f aca="false">(I274-J274)*10000000000</f>
        <v>-2.14329887171516</v>
      </c>
      <c r="L274" s="78" t="s">
        <v>103</v>
      </c>
      <c r="M274" s="78" t="n">
        <v>89</v>
      </c>
      <c r="N274" s="79"/>
      <c r="O274" s="79" t="n">
        <f aca="false">O269</f>
        <v>4.15190163669999</v>
      </c>
      <c r="P274" s="80"/>
      <c r="Q274" s="73" t="n">
        <v>-0.1</v>
      </c>
      <c r="R274" s="76" t="n">
        <f aca="false">I274-COS(RADIANS(D274+E274/60+F274/3600))/SIN(RADIANS(D274+E274/60+F274/3600))*RADIANS(Q274/3600)/LN(10)</f>
        <v>9.85418701759254</v>
      </c>
      <c r="S274" s="79" t="n">
        <f aca="false">S269</f>
        <v>4.15189210436042</v>
      </c>
      <c r="T274" s="79" t="n">
        <f aca="false">T269</f>
        <v>4.15190050082521</v>
      </c>
      <c r="U274" s="81"/>
      <c r="V274" s="81"/>
      <c r="W274" s="82"/>
      <c r="X274" s="83"/>
      <c r="Y274" s="78"/>
    </row>
    <row r="275" customFormat="false" ht="15" hidden="false" customHeight="false" outlineLevel="0" collapsed="false">
      <c r="A275" s="5" t="n">
        <v>91</v>
      </c>
      <c r="B275" s="5" t="s">
        <v>343</v>
      </c>
      <c r="C275" s="5" t="s">
        <v>350</v>
      </c>
      <c r="D275" s="38" t="n">
        <v>52</v>
      </c>
      <c r="E275" s="38" t="n">
        <v>4</v>
      </c>
      <c r="F275" s="30" t="n">
        <v>10.5</v>
      </c>
      <c r="G275" s="30" t="n">
        <v>0.81</v>
      </c>
      <c r="H275" s="16" t="n">
        <v>9.896943704</v>
      </c>
      <c r="I275" s="12" t="n">
        <f aca="false">H275</f>
        <v>9.896943704</v>
      </c>
      <c r="J275" s="12" t="n">
        <f aca="false">10+LOG10(SIN(RADIANS(D275+E275/60+F275/3600)))</f>
        <v>9.89694370414772</v>
      </c>
      <c r="K275" s="25" t="n">
        <f aca="false">(I275-J275)*10000000000</f>
        <v>-1.47721834764525</v>
      </c>
      <c r="L275" s="39" t="s">
        <v>100</v>
      </c>
      <c r="N275" s="16" t="n">
        <v>4.2174629465</v>
      </c>
      <c r="O275" s="40" t="n">
        <f aca="false">O277+I275-I277</f>
        <v>4.21746294609999</v>
      </c>
      <c r="P275" s="41" t="n">
        <f aca="false">IF(N275="","",(O275-N275)*10000000000)</f>
        <v>-4.00015132129283</v>
      </c>
      <c r="Q275" s="38" t="n">
        <v>0.05</v>
      </c>
      <c r="R275" s="12" t="n">
        <f aca="false">I275-COS(RADIANS(D275+E275/60+F275/3600))/SIN(RADIANS(D275+E275/60+F275/3600))*RADIANS(Q275/3600)/LN(10)</f>
        <v>9.89694362195511</v>
      </c>
      <c r="S275" s="40" t="n">
        <f aca="false">S277+R275-R277</f>
        <v>4.21745306166609</v>
      </c>
      <c r="T275" s="40" t="n">
        <f aca="false">T277+J275-J277</f>
        <v>4.21746181020814</v>
      </c>
      <c r="U275" s="42" t="n">
        <f aca="false">Summary!$C$6*ASIN(10^O275/Summary!$C$6)</f>
        <v>16499.2723815132</v>
      </c>
      <c r="V275" s="15" t="n">
        <v>16499.2724</v>
      </c>
      <c r="W275" s="43" t="n">
        <f aca="false">IF(V275="","",(V275-U275)*Summary!$C$7*1000)</f>
        <v>0.036031436257715</v>
      </c>
      <c r="X275" s="44" t="n">
        <f aca="false">U275*Summary!$C$7</f>
        <v>32157.6856044931</v>
      </c>
      <c r="Y275" s="26" t="n">
        <f aca="false">(D275+D276+D277-180)*3600+(E275+E276+E277)*60+F275+F276+F277-(G275+G276+G277)</f>
        <v>0</v>
      </c>
    </row>
    <row r="276" customFormat="false" ht="15" hidden="false" customHeight="false" outlineLevel="0" collapsed="false">
      <c r="A276" s="5" t="n">
        <v>91</v>
      </c>
      <c r="B276" s="5" t="s">
        <v>349</v>
      </c>
      <c r="C276" s="5" t="s">
        <v>351</v>
      </c>
      <c r="D276" s="38" t="n">
        <v>56</v>
      </c>
      <c r="E276" s="38" t="n">
        <v>49</v>
      </c>
      <c r="F276" s="30" t="n">
        <v>37.83</v>
      </c>
      <c r="G276" s="30" t="n">
        <v>0.83</v>
      </c>
      <c r="H276" s="16" t="n">
        <v>9.9227378714</v>
      </c>
      <c r="I276" s="12" t="n">
        <f aca="false">H276</f>
        <v>9.9227378714</v>
      </c>
      <c r="J276" s="12" t="n">
        <f aca="false">10+LOG10(SIN(RADIANS(D276+E276/60+F276/3600)))</f>
        <v>9.92273787171588</v>
      </c>
      <c r="K276" s="25" t="n">
        <f aca="false">(I276-J276)*10000000000</f>
        <v>-3.1588065496635</v>
      </c>
      <c r="L276" s="39" t="s">
        <v>100</v>
      </c>
      <c r="N276" s="16" t="n">
        <v>4.2432571139</v>
      </c>
      <c r="O276" s="40" t="n">
        <f aca="false">O277+I276-I277</f>
        <v>4.24325711349999</v>
      </c>
      <c r="P276" s="41" t="n">
        <f aca="false">IF(N276="","",(O276-N276)*10000000000)</f>
        <v>-4.00014243950864</v>
      </c>
      <c r="Q276" s="38" t="n">
        <v>0.05</v>
      </c>
      <c r="R276" s="12" t="n">
        <f aca="false">I276-COS(RADIANS(D276+E276/60+F276/3600))/SIN(RADIANS(D276+E276/60+F276/3600))*RADIANS(Q276/3600)/LN(10)</f>
        <v>9.92273780258064</v>
      </c>
      <c r="S276" s="40" t="n">
        <f aca="false">S277+R276-R277</f>
        <v>4.24324724229161</v>
      </c>
      <c r="T276" s="40" t="n">
        <f aca="false">T277+J276-J277</f>
        <v>4.2432559777763</v>
      </c>
      <c r="U276" s="42" t="n">
        <f aca="false">Summary!$C$6*ASIN(10^O276/Summary!$C$6)</f>
        <v>17508.9133115544</v>
      </c>
      <c r="V276" s="15" t="n">
        <v>17508.9134</v>
      </c>
      <c r="W276" s="43" t="n">
        <f aca="false">IF(V276="","",(V276-U276)*Summary!$C$7*1000)</f>
        <v>0.172383771689431</v>
      </c>
      <c r="X276" s="44" t="n">
        <f aca="false">U276*Summary!$C$7</f>
        <v>34125.5127214071</v>
      </c>
    </row>
    <row r="277" customFormat="false" ht="15" hidden="false" customHeight="false" outlineLevel="0" collapsed="false">
      <c r="A277" s="45" t="n">
        <v>91</v>
      </c>
      <c r="B277" s="45" t="s">
        <v>352</v>
      </c>
      <c r="C277" s="45" t="s">
        <v>348</v>
      </c>
      <c r="D277" s="46" t="n">
        <v>71</v>
      </c>
      <c r="E277" s="46" t="n">
        <v>6</v>
      </c>
      <c r="F277" s="47" t="n">
        <v>14.3</v>
      </c>
      <c r="G277" s="47" t="n">
        <v>0.99</v>
      </c>
      <c r="H277" s="48" t="n">
        <v>9.9759406289</v>
      </c>
      <c r="I277" s="49" t="n">
        <f aca="false">H277</f>
        <v>9.9759406289</v>
      </c>
      <c r="J277" s="49" t="n">
        <f aca="false">10+LOG10(SIN(RADIANS(D277+E277/60+F277/3600)))</f>
        <v>9.97594062902008</v>
      </c>
      <c r="K277" s="50" t="n">
        <f aca="false">(I277-J277)*10000000000</f>
        <v>-1.20078169629778</v>
      </c>
      <c r="L277" s="51" t="s">
        <v>103</v>
      </c>
      <c r="M277" s="51" t="n">
        <v>90</v>
      </c>
      <c r="N277" s="52"/>
      <c r="O277" s="52" t="n">
        <f aca="false">O273</f>
        <v>4.29645987099999</v>
      </c>
      <c r="P277" s="53"/>
      <c r="Q277" s="46" t="n">
        <v>-0.1</v>
      </c>
      <c r="R277" s="49" t="n">
        <f aca="false">I277-COS(RADIANS(D277+E277/60+F277/3600))/SIN(RADIANS(D277+E277/60+F277/3600))*RADIANS(Q277/3600)/LN(10)</f>
        <v>9.97594070097172</v>
      </c>
      <c r="S277" s="52" t="n">
        <f aca="false">S273</f>
        <v>4.2964501406827</v>
      </c>
      <c r="T277" s="52" t="n">
        <f aca="false">T273</f>
        <v>4.2964587350805</v>
      </c>
      <c r="U277" s="54"/>
      <c r="V277" s="54"/>
      <c r="W277" s="56"/>
      <c r="X277" s="57"/>
      <c r="Y277" s="51"/>
    </row>
    <row r="278" customFormat="false" ht="15" hidden="false" customHeight="false" outlineLevel="0" collapsed="false">
      <c r="A278" s="58" t="n">
        <v>92</v>
      </c>
      <c r="B278" s="58" t="s">
        <v>349</v>
      </c>
      <c r="C278" s="58" t="s">
        <v>353</v>
      </c>
      <c r="D278" s="59" t="n">
        <v>53</v>
      </c>
      <c r="E278" s="59" t="n">
        <v>18</v>
      </c>
      <c r="F278" s="60" t="n">
        <v>30.94</v>
      </c>
      <c r="G278" s="60" t="n">
        <v>0.62</v>
      </c>
      <c r="H278" s="61" t="n">
        <v>9.9041014092</v>
      </c>
      <c r="I278" s="62" t="n">
        <f aca="false">H278</f>
        <v>9.9041014092</v>
      </c>
      <c r="J278" s="62" t="n">
        <f aca="false">10+LOG10(SIN(RADIANS(D278+E278/60+F278/3600)))</f>
        <v>9.90410140924122</v>
      </c>
      <c r="K278" s="63" t="n">
        <f aca="false">(I278-J278)*10000000000</f>
        <v>-0.412150313877646</v>
      </c>
      <c r="L278" s="64" t="s">
        <v>100</v>
      </c>
      <c r="M278" s="64"/>
      <c r="N278" s="61" t="n">
        <v>4.1587524804</v>
      </c>
      <c r="O278" s="65" t="n">
        <f aca="false">O280+I278-I280</f>
        <v>4.15875248009999</v>
      </c>
      <c r="P278" s="66" t="n">
        <f aca="false">IF(N278="","",(O278-N278)*10000000000)</f>
        <v>-3.00013347498407</v>
      </c>
      <c r="Q278" s="59" t="n">
        <v>0.05</v>
      </c>
      <c r="R278" s="62" t="n">
        <f aca="false">I278-COS(RADIANS(D278+E278/60+F278/3600))/SIN(RADIANS(D278+E278/60+F278/3600))*RADIANS(Q278/3600)/LN(10)</f>
        <v>9.90410133075429</v>
      </c>
      <c r="S278" s="65" t="n">
        <f aca="false">S280+R278-R280</f>
        <v>4.15874242621993</v>
      </c>
      <c r="T278" s="65" t="n">
        <f aca="false">T280+J278-J280</f>
        <v>4.15875134405657</v>
      </c>
      <c r="U278" s="67" t="n">
        <f aca="false">Summary!$C$6*ASIN(10^O278/Summary!$C$6)</f>
        <v>14412.9834808365</v>
      </c>
      <c r="V278" s="68" t="n">
        <v>14412.9835</v>
      </c>
      <c r="W278" s="69" t="n">
        <f aca="false">IF(V278="","",(V278-U278)*Summary!$C$7*1000)</f>
        <v>0.0373502721765799</v>
      </c>
      <c r="X278" s="70" t="n">
        <f aca="false">U278*Summary!$C$7</f>
        <v>28091.4321966595</v>
      </c>
      <c r="Y278" s="71" t="n">
        <f aca="false">(D278+D279+D280-180)*3600+(E278+E279+E280)*60+F278+F279+F280-(G278+G279+G280)</f>
        <v>0</v>
      </c>
    </row>
    <row r="279" customFormat="false" ht="15" hidden="false" customHeight="false" outlineLevel="0" collapsed="false">
      <c r="A279" s="58" t="n">
        <v>92</v>
      </c>
      <c r="B279" s="58" t="s">
        <v>352</v>
      </c>
      <c r="C279" s="58" t="s">
        <v>354</v>
      </c>
      <c r="D279" s="59" t="n">
        <v>60</v>
      </c>
      <c r="E279" s="59" t="n">
        <v>3</v>
      </c>
      <c r="F279" s="60" t="n">
        <v>57.39</v>
      </c>
      <c r="G279" s="60" t="n">
        <v>0.66</v>
      </c>
      <c r="H279" s="61" t="n">
        <v>9.9378188247</v>
      </c>
      <c r="I279" s="62" t="n">
        <f aca="false">H279</f>
        <v>9.9378188247</v>
      </c>
      <c r="J279" s="62" t="n">
        <f aca="false">10+LOG10(SIN(RADIANS(D279+E279/60+F279/3600)))</f>
        <v>9.93781882486985</v>
      </c>
      <c r="K279" s="63" t="n">
        <f aca="false">(I279-J279)*10000000000</f>
        <v>-1.69844582842416</v>
      </c>
      <c r="L279" s="64" t="s">
        <v>100</v>
      </c>
      <c r="M279" s="64"/>
      <c r="N279" s="61" t="n">
        <v>4.1924698959</v>
      </c>
      <c r="O279" s="65" t="n">
        <f aca="false">O280+I279-I280</f>
        <v>4.19246989559999</v>
      </c>
      <c r="P279" s="66" t="n">
        <f aca="false">IF(N279="","",(O279-N279)*10000000000)</f>
        <v>-3.00014235676827</v>
      </c>
      <c r="Q279" s="59" t="n">
        <v>0.05</v>
      </c>
      <c r="R279" s="62" t="n">
        <f aca="false">I279-COS(RADIANS(D279+E279/60+F279/3600))/SIN(RADIANS(D279+E279/60+F279/3600))*RADIANS(Q279/3600)/LN(10)</f>
        <v>9.93781876408034</v>
      </c>
      <c r="S279" s="65" t="n">
        <f aca="false">S280+R279-R280</f>
        <v>4.19245985954598</v>
      </c>
      <c r="T279" s="65" t="n">
        <f aca="false">T280+J279-J280</f>
        <v>4.1924687596852</v>
      </c>
      <c r="U279" s="67" t="n">
        <f aca="false">Summary!$C$6*ASIN(10^O279/Summary!$C$6)</f>
        <v>15576.5595950236</v>
      </c>
      <c r="V279" s="68" t="n">
        <v>15576.5567</v>
      </c>
      <c r="W279" s="69" t="n">
        <f aca="false">IF(V279="","",(V279-U279)*Summary!$C$7*1000)</f>
        <v>-5.64250693868609</v>
      </c>
      <c r="X279" s="70" t="n">
        <f aca="false">U279*Summary!$C$7</f>
        <v>30359.2846201912</v>
      </c>
      <c r="Y279" s="64"/>
    </row>
    <row r="280" customFormat="false" ht="15" hidden="false" customHeight="false" outlineLevel="0" collapsed="false">
      <c r="A280" s="72" t="n">
        <v>92</v>
      </c>
      <c r="B280" s="72" t="s">
        <v>355</v>
      </c>
      <c r="C280" s="72" t="s">
        <v>350</v>
      </c>
      <c r="D280" s="73" t="n">
        <v>66</v>
      </c>
      <c r="E280" s="73" t="n">
        <v>37</v>
      </c>
      <c r="F280" s="74" t="n">
        <v>33.67</v>
      </c>
      <c r="G280" s="74" t="n">
        <v>0.72</v>
      </c>
      <c r="H280" s="75" t="n">
        <v>9.9628118752</v>
      </c>
      <c r="I280" s="76" t="n">
        <f aca="false">H280</f>
        <v>9.9628118752</v>
      </c>
      <c r="J280" s="76" t="n">
        <f aca="false">10+LOG10(SIN(RADIANS(D280+E280/60+F280/3600)))</f>
        <v>9.96281187539279</v>
      </c>
      <c r="K280" s="77" t="n">
        <f aca="false">(I280-J280)*10000000000</f>
        <v>-1.92788007780109</v>
      </c>
      <c r="L280" s="78" t="s">
        <v>103</v>
      </c>
      <c r="M280" s="78" t="n">
        <v>91</v>
      </c>
      <c r="N280" s="79"/>
      <c r="O280" s="79" t="n">
        <f aca="false">O275</f>
        <v>4.21746294609999</v>
      </c>
      <c r="P280" s="80"/>
      <c r="Q280" s="73" t="n">
        <v>-0.1</v>
      </c>
      <c r="R280" s="76" t="n">
        <f aca="false">I280-COS(RADIANS(D280+E280/60+F280/3600))/SIN(RADIANS(D280+E280/60+F280/3600))*RADIANS(Q280/3600)/LN(10)</f>
        <v>9.96281196620045</v>
      </c>
      <c r="S280" s="79" t="n">
        <f aca="false">S275</f>
        <v>4.21745306166609</v>
      </c>
      <c r="T280" s="79" t="n">
        <f aca="false">T275</f>
        <v>4.21746181020814</v>
      </c>
      <c r="U280" s="81"/>
      <c r="V280" s="81"/>
      <c r="W280" s="82"/>
      <c r="X280" s="83"/>
      <c r="Y280" s="78"/>
    </row>
    <row r="281" customFormat="false" ht="15" hidden="false" customHeight="false" outlineLevel="0" collapsed="false">
      <c r="A281" s="5" t="n">
        <v>93</v>
      </c>
      <c r="B281" s="5" t="s">
        <v>352</v>
      </c>
      <c r="C281" s="5" t="s">
        <v>356</v>
      </c>
      <c r="D281" s="38" t="n">
        <v>49</v>
      </c>
      <c r="E281" s="38" t="n">
        <v>43</v>
      </c>
      <c r="F281" s="30" t="n">
        <v>15.43</v>
      </c>
      <c r="G281" s="30" t="n">
        <v>0.51</v>
      </c>
      <c r="H281" s="16" t="n">
        <v>9.8824703507</v>
      </c>
      <c r="I281" s="12" t="n">
        <f aca="false">H281</f>
        <v>9.8824703507</v>
      </c>
      <c r="J281" s="12" t="n">
        <f aca="false">10+LOG10(SIN(RADIANS(D281+E281/60+F281/3600)))</f>
        <v>9.88247035104779</v>
      </c>
      <c r="K281" s="25" t="n">
        <f aca="false">(I281-J281)*10000000000</f>
        <v>-3.47791129229336</v>
      </c>
      <c r="L281" s="39" t="s">
        <v>100</v>
      </c>
      <c r="N281" s="16" t="n">
        <v>4.1080608614</v>
      </c>
      <c r="O281" s="40" t="n">
        <f aca="false">O283+I281-I283</f>
        <v>4.10806086119999</v>
      </c>
      <c r="P281" s="41" t="n">
        <f aca="false">IF(N281="","",(O281-N281)*10000000000)</f>
        <v>-2.00014227402789</v>
      </c>
      <c r="Q281" s="38" t="n">
        <v>0.05</v>
      </c>
      <c r="R281" s="12" t="n">
        <f aca="false">I281-COS(RADIANS(D281+E281/60+F281/3600))/SIN(RADIANS(D281+E281/60+F281/3600))*RADIANS(Q281/3600)/LN(10)</f>
        <v>9.88247026148567</v>
      </c>
      <c r="S281" s="40" t="n">
        <f aca="false">S283+R281-R283</f>
        <v>4.1080505916991</v>
      </c>
      <c r="T281" s="40" t="n">
        <f aca="false">T283+J281-J283</f>
        <v>4.10805972520347</v>
      </c>
      <c r="U281" s="42" t="n">
        <f aca="false">Summary!$C$6*ASIN(10^O281/Summary!$C$6)</f>
        <v>12825.1359269308</v>
      </c>
      <c r="V281" s="15" t="n">
        <v>12825.1359</v>
      </c>
      <c r="W281" s="43" t="n">
        <f aca="false">IF(V281="","",(V281-U281)*Summary!$C$7*1000)</f>
        <v>-0.0524892001761586</v>
      </c>
      <c r="X281" s="44" t="n">
        <f aca="false">U281*Summary!$C$7</f>
        <v>24996.6592123929</v>
      </c>
      <c r="Y281" s="26" t="n">
        <f aca="false">(D281+D282+D283-180)*3600+(E281+E282+E283)*60+F281+F282+F283-(G281+G282+G283)</f>
        <v>0</v>
      </c>
    </row>
    <row r="282" customFormat="false" ht="15" hidden="false" customHeight="false" outlineLevel="0" collapsed="false">
      <c r="A282" s="5" t="n">
        <v>93</v>
      </c>
      <c r="B282" s="5" t="s">
        <v>355</v>
      </c>
      <c r="C282" s="5" t="s">
        <v>357</v>
      </c>
      <c r="D282" s="38" t="n">
        <v>71</v>
      </c>
      <c r="E282" s="38" t="n">
        <v>15</v>
      </c>
      <c r="F282" s="30" t="n">
        <v>30.05</v>
      </c>
      <c r="G282" s="30" t="n">
        <v>0.64</v>
      </c>
      <c r="H282" s="16" t="n">
        <v>9.9763394076</v>
      </c>
      <c r="I282" s="12" t="n">
        <f aca="false">H282</f>
        <v>9.9763394076</v>
      </c>
      <c r="J282" s="12" t="n">
        <f aca="false">10+LOG10(SIN(RADIANS(D282+E282/60+F282/3600)))</f>
        <v>9.97633940760582</v>
      </c>
      <c r="K282" s="25" t="n">
        <f aca="false">(I282-J282)*10000000000</f>
        <v>-0.0582467407639342</v>
      </c>
      <c r="L282" s="39" t="s">
        <v>100</v>
      </c>
      <c r="N282" s="16" t="n">
        <v>4.2019299184</v>
      </c>
      <c r="O282" s="40" t="n">
        <f aca="false">O283+I282-I283</f>
        <v>4.20192991809999</v>
      </c>
      <c r="P282" s="41" t="n">
        <f aca="false">IF(N282="","",(O282-N282)*10000000000)</f>
        <v>-3.00015123855246</v>
      </c>
      <c r="Q282" s="38" t="n">
        <v>0.05</v>
      </c>
      <c r="R282" s="12" t="n">
        <f aca="false">I282-COS(RADIANS(D282+E282/60+F282/3600))/SIN(RADIANS(D282+E282/60+F282/3600))*RADIANS(Q282/3600)/LN(10)</f>
        <v>9.97633937188073</v>
      </c>
      <c r="S282" s="40" t="n">
        <f aca="false">S283+R282-R283</f>
        <v>4.20191970209417</v>
      </c>
      <c r="T282" s="40" t="n">
        <f aca="false">T283+J282-J283</f>
        <v>4.2019287817615</v>
      </c>
      <c r="U282" s="42" t="n">
        <f aca="false">Summary!$C$6*ASIN(10^O282/Summary!$C$6)</f>
        <v>15919.5811383574</v>
      </c>
      <c r="V282" s="15" t="n">
        <v>15919.5812</v>
      </c>
      <c r="W282" s="43" t="n">
        <f aca="false">IF(V282="","",(V282-U282)*Summary!$C$7*1000)</f>
        <v>0.120143666214038</v>
      </c>
      <c r="X282" s="44" t="n">
        <f aca="false">U282*Summary!$C$7</f>
        <v>31027.8461598174</v>
      </c>
    </row>
    <row r="283" customFormat="false" ht="15" hidden="false" customHeight="false" outlineLevel="0" collapsed="false">
      <c r="A283" s="45" t="n">
        <v>93</v>
      </c>
      <c r="B283" s="45" t="s">
        <v>358</v>
      </c>
      <c r="C283" s="45" t="s">
        <v>353</v>
      </c>
      <c r="D283" s="46" t="n">
        <v>59</v>
      </c>
      <c r="E283" s="46" t="n">
        <v>1</v>
      </c>
      <c r="F283" s="47" t="n">
        <v>16.21</v>
      </c>
      <c r="G283" s="47" t="n">
        <v>0.54</v>
      </c>
      <c r="H283" s="48" t="n">
        <v>9.9331619696</v>
      </c>
      <c r="I283" s="49" t="n">
        <f aca="false">H283</f>
        <v>9.9331619696</v>
      </c>
      <c r="J283" s="49" t="n">
        <f aca="false">10+LOG10(SIN(RADIANS(D283+E283/60+F283/3600)))</f>
        <v>9.93316196990089</v>
      </c>
      <c r="K283" s="50" t="n">
        <f aca="false">(I283-J283)*10000000000</f>
        <v>-3.00888203241811</v>
      </c>
      <c r="L283" s="51" t="s">
        <v>103</v>
      </c>
      <c r="M283" s="51" t="n">
        <v>92</v>
      </c>
      <c r="N283" s="52"/>
      <c r="O283" s="52" t="n">
        <f aca="false">O278</f>
        <v>4.15875248009999</v>
      </c>
      <c r="P283" s="53"/>
      <c r="Q283" s="46" t="n">
        <v>-0.1</v>
      </c>
      <c r="R283" s="49" t="n">
        <f aca="false">I283-COS(RADIANS(D283+E283/60+F283/3600))/SIN(RADIANS(D283+E283/60+F283/3600))*RADIANS(Q283/3600)/LN(10)</f>
        <v>9.93316209600649</v>
      </c>
      <c r="S283" s="52" t="n">
        <f aca="false">S278</f>
        <v>4.15874242621993</v>
      </c>
      <c r="T283" s="52" t="n">
        <f aca="false">T278</f>
        <v>4.15875134405657</v>
      </c>
      <c r="U283" s="54"/>
      <c r="V283" s="54"/>
      <c r="W283" s="56"/>
      <c r="X283" s="57"/>
      <c r="Y283" s="51"/>
    </row>
    <row r="284" customFormat="false" ht="15" hidden="false" customHeight="false" outlineLevel="0" collapsed="false">
      <c r="A284" s="58" t="n">
        <v>94</v>
      </c>
      <c r="B284" s="58" t="s">
        <v>355</v>
      </c>
      <c r="C284" s="58" t="s">
        <v>359</v>
      </c>
      <c r="D284" s="59" t="n">
        <v>90</v>
      </c>
      <c r="E284" s="59" t="n">
        <v>17</v>
      </c>
      <c r="F284" s="60" t="n">
        <v>11.31</v>
      </c>
      <c r="G284" s="60" t="n">
        <v>0.8</v>
      </c>
      <c r="H284" s="61" t="n">
        <v>9.9999945714</v>
      </c>
      <c r="I284" s="62" t="n">
        <f aca="false">H284</f>
        <v>9.9999945714</v>
      </c>
      <c r="J284" s="62" t="n">
        <f aca="false">10+LOG10(SIN(RADIANS(D284+E284/60+F284/3600)))</f>
        <v>9.99999457144407</v>
      </c>
      <c r="K284" s="63" t="n">
        <f aca="false">(I284-J284)*10000000000</f>
        <v>-0.440714131855202</v>
      </c>
      <c r="L284" s="64" t="s">
        <v>100</v>
      </c>
      <c r="M284" s="64"/>
      <c r="N284" s="61" t="n">
        <v>4.2594502944</v>
      </c>
      <c r="O284" s="65" t="n">
        <f aca="false">O286+I284-I286</f>
        <v>4.25945029419999</v>
      </c>
      <c r="P284" s="66" t="n">
        <f aca="false">IF(N284="","",(O284-N284)*10000000000)</f>
        <v>-2.0001333922437</v>
      </c>
      <c r="Q284" s="59" t="n">
        <v>0.05</v>
      </c>
      <c r="R284" s="62" t="n">
        <f aca="false">I284-COS(RADIANS(D284+E284/60+F284/3600))/SIN(RADIANS(D284+E284/60+F284/3600))*RADIANS(Q284/3600)/LN(10)</f>
        <v>9.99999457192638</v>
      </c>
      <c r="S284" s="65" t="n">
        <f aca="false">S286+R284-R286</f>
        <v>4.25943981382043</v>
      </c>
      <c r="T284" s="65" t="n">
        <f aca="false">T286+J284-J286</f>
        <v>4.25944915792053</v>
      </c>
      <c r="U284" s="67" t="n">
        <f aca="false">Summary!$C$6*ASIN(10^O284/Summary!$C$6)</f>
        <v>18174.0841312911</v>
      </c>
      <c r="V284" s="68" t="n">
        <v>18174.0849</v>
      </c>
      <c r="W284" s="69" t="n">
        <f aca="false">IF(V284="","",(V284-U284)*Summary!$C$7*1000)</f>
        <v>1.49824182761461</v>
      </c>
      <c r="X284" s="70" t="n">
        <f aca="false">U284*Summary!$C$7</f>
        <v>35421.9549886639</v>
      </c>
      <c r="Y284" s="71" t="n">
        <f aca="false">(D284+D285+D286-180)*3600+(E284+E285+E286)*60+F284+F285+F286-(G284+G285+G286)</f>
        <v>0</v>
      </c>
    </row>
    <row r="285" customFormat="false" ht="15" hidden="false" customHeight="false" outlineLevel="0" collapsed="false">
      <c r="A285" s="58" t="n">
        <v>94</v>
      </c>
      <c r="B285" s="58" t="s">
        <v>358</v>
      </c>
      <c r="C285" s="58" t="s">
        <v>360</v>
      </c>
      <c r="D285" s="59" t="n">
        <v>44</v>
      </c>
      <c r="E285" s="59" t="n">
        <v>49</v>
      </c>
      <c r="F285" s="60" t="n">
        <v>47.31</v>
      </c>
      <c r="G285" s="60" t="n">
        <v>0.39</v>
      </c>
      <c r="H285" s="61" t="n">
        <v>9.8481911319</v>
      </c>
      <c r="I285" s="62" t="n">
        <f aca="false">H285</f>
        <v>9.8481911319</v>
      </c>
      <c r="J285" s="62" t="n">
        <f aca="false">10+LOG10(SIN(RADIANS(D285+E285/60+F285/3600)))</f>
        <v>9.84819113216861</v>
      </c>
      <c r="K285" s="63" t="n">
        <f aca="false">(I285-J285)*10000000000</f>
        <v>-2.68606470399391</v>
      </c>
      <c r="L285" s="64" t="s">
        <v>100</v>
      </c>
      <c r="M285" s="64"/>
      <c r="N285" s="61" t="n">
        <v>4.1076468551</v>
      </c>
      <c r="O285" s="65" t="n">
        <f aca="false">O286+I285-I286</f>
        <v>4.10764685469999</v>
      </c>
      <c r="P285" s="66" t="n">
        <f aca="false">IF(N285="","",(O285-N285)*10000000000)</f>
        <v>-4.00013355772444</v>
      </c>
      <c r="Q285" s="59" t="n">
        <v>0.05</v>
      </c>
      <c r="R285" s="62" t="n">
        <f aca="false">I285-COS(RADIANS(D285+E285/60+F285/3600))/SIN(RADIANS(D285+E285/60+F285/3600))*RADIANS(Q285/3600)/LN(10)</f>
        <v>9.84819102599676</v>
      </c>
      <c r="S285" s="65" t="n">
        <f aca="false">S286+R285-R286</f>
        <v>4.10763626789081</v>
      </c>
      <c r="T285" s="65" t="n">
        <f aca="false">T286+J285-J286</f>
        <v>4.10764571864507</v>
      </c>
      <c r="U285" s="67" t="n">
        <f aca="false">Summary!$C$6*ASIN(10^O285/Summary!$C$6)</f>
        <v>12812.915677626</v>
      </c>
      <c r="V285" s="68" t="n">
        <v>12812.9157</v>
      </c>
      <c r="W285" s="69" t="n">
        <f aca="false">IF(V285="","",(V285-U285)*Summary!$C$7*1000)</f>
        <v>0.0436076717363968</v>
      </c>
      <c r="X285" s="70" t="n">
        <f aca="false">U285*Summary!$C$7</f>
        <v>24972.8414993407</v>
      </c>
      <c r="Y285" s="64"/>
    </row>
    <row r="286" customFormat="false" ht="15" hidden="false" customHeight="false" outlineLevel="0" collapsed="false">
      <c r="A286" s="72" t="n">
        <v>94</v>
      </c>
      <c r="B286" s="72" t="s">
        <v>361</v>
      </c>
      <c r="C286" s="72" t="s">
        <v>356</v>
      </c>
      <c r="D286" s="73" t="n">
        <v>44</v>
      </c>
      <c r="E286" s="73" t="n">
        <v>53</v>
      </c>
      <c r="F286" s="74" t="n">
        <v>2.96</v>
      </c>
      <c r="G286" s="74" t="n">
        <v>0.39</v>
      </c>
      <c r="H286" s="75" t="n">
        <v>9.8486051384</v>
      </c>
      <c r="I286" s="76" t="n">
        <f aca="false">H286</f>
        <v>9.8486051384</v>
      </c>
      <c r="J286" s="76" t="n">
        <f aca="false">10+LOG10(SIN(RADIANS(D286+E286/60+F286/3600)))</f>
        <v>9.84860513872701</v>
      </c>
      <c r="K286" s="77" t="n">
        <f aca="false">(I286-J286)*10000000000</f>
        <v>-3.27009530565192</v>
      </c>
      <c r="L286" s="78" t="s">
        <v>103</v>
      </c>
      <c r="M286" s="78" t="n">
        <v>93</v>
      </c>
      <c r="N286" s="79"/>
      <c r="O286" s="79" t="n">
        <f aca="false">O281</f>
        <v>4.10806086119999</v>
      </c>
      <c r="P286" s="80"/>
      <c r="Q286" s="73" t="n">
        <v>-0.1</v>
      </c>
      <c r="R286" s="76" t="n">
        <f aca="false">I286-COS(RADIANS(D286+E286/60+F286/3600))/SIN(RADIANS(D286+E286/60+F286/3600))*RADIANS(Q286/3600)/LN(10)</f>
        <v>9.84860534980505</v>
      </c>
      <c r="S286" s="79" t="n">
        <f aca="false">S281</f>
        <v>4.1080505916991</v>
      </c>
      <c r="T286" s="79" t="n">
        <f aca="false">T281</f>
        <v>4.10805972520347</v>
      </c>
      <c r="U286" s="81"/>
      <c r="V286" s="81"/>
      <c r="W286" s="82"/>
      <c r="X286" s="83"/>
      <c r="Y286" s="78"/>
    </row>
    <row r="287" customFormat="false" ht="15" hidden="false" customHeight="false" outlineLevel="0" collapsed="false">
      <c r="A287" s="5" t="n">
        <v>95</v>
      </c>
      <c r="B287" s="5" t="s">
        <v>358</v>
      </c>
      <c r="C287" s="5" t="s">
        <v>362</v>
      </c>
      <c r="D287" s="38" t="n">
        <v>24</v>
      </c>
      <c r="E287" s="38" t="n">
        <v>58</v>
      </c>
      <c r="F287" s="30" t="n">
        <v>27.53</v>
      </c>
      <c r="G287" s="30" t="n">
        <v>0.36</v>
      </c>
      <c r="H287" s="16" t="n">
        <v>9.6255304845</v>
      </c>
      <c r="I287" s="12" t="n">
        <f aca="false">H287</f>
        <v>9.6255304845</v>
      </c>
      <c r="J287" s="12" t="n">
        <f aca="false">10+LOG10(SIN(RADIANS(D287+E287/60+F287/3600)))</f>
        <v>9.62553048508817</v>
      </c>
      <c r="K287" s="25" t="n">
        <f aca="false">(I287-J287)*10000000000</f>
        <v>-5.88171289450656</v>
      </c>
      <c r="L287" s="39" t="s">
        <v>100</v>
      </c>
      <c r="N287" s="16" t="n">
        <v>3.9533088666</v>
      </c>
      <c r="O287" s="40" t="n">
        <f aca="false">O289+I287-I289</f>
        <v>3.95330886639999</v>
      </c>
      <c r="P287" s="41" t="n">
        <f aca="false">IF(N287="","",(O287-N287)*10000000000)</f>
        <v>-2.0001378331358</v>
      </c>
      <c r="Q287" s="38" t="n">
        <v>0.05</v>
      </c>
      <c r="R287" s="12" t="n">
        <f aca="false">I287-COS(RADIANS(D287+E287/60+F287/3600))/SIN(RADIANS(D287+E287/60+F287/3600))*RADIANS(Q287/3600)/LN(10)</f>
        <v>9.62553025847049</v>
      </c>
      <c r="S287" s="40" t="n">
        <f aca="false">S289+R287-R289</f>
        <v>3.95329803195235</v>
      </c>
      <c r="T287" s="40" t="n">
        <f aca="false">T289+J287-J289</f>
        <v>3.95330773060877</v>
      </c>
      <c r="U287" s="42" t="n">
        <f aca="false">Summary!$C$6*ASIN(10^O287/Summary!$C$6)</f>
        <v>8980.68395981806</v>
      </c>
      <c r="V287" s="15" t="n">
        <v>8980.684</v>
      </c>
      <c r="W287" s="43" t="n">
        <f aca="false">IF(V287="","",(V287-U287)*Summary!$C$7*1000)</f>
        <v>0.078316074467389</v>
      </c>
      <c r="X287" s="44" t="n">
        <f aca="false">U287*Summary!$C$7</f>
        <v>17503.6816542728</v>
      </c>
      <c r="Y287" s="26" t="n">
        <f aca="false">(D287+D288+D289-180)*3600+(E287+E288+E289)*60+F287+F288+F289-(G287+G288+G289)</f>
        <v>0</v>
      </c>
    </row>
    <row r="288" customFormat="false" ht="15" hidden="false" customHeight="false" outlineLevel="0" collapsed="false">
      <c r="A288" s="5" t="n">
        <v>95</v>
      </c>
      <c r="B288" s="5" t="s">
        <v>361</v>
      </c>
      <c r="C288" s="5" t="s">
        <v>363</v>
      </c>
      <c r="D288" s="38" t="n">
        <v>96</v>
      </c>
      <c r="E288" s="38" t="n">
        <v>19</v>
      </c>
      <c r="F288" s="30" t="n">
        <v>49.06</v>
      </c>
      <c r="G288" s="30" t="n">
        <v>0.9</v>
      </c>
      <c r="H288" s="16" t="n">
        <v>9.9973439122</v>
      </c>
      <c r="I288" s="12" t="n">
        <f aca="false">H288</f>
        <v>9.9973439122</v>
      </c>
      <c r="J288" s="12" t="n">
        <f aca="false">10+LOG10(SIN(RADIANS(D288+E288/60+F288/3600)))</f>
        <v>9.99734391227081</v>
      </c>
      <c r="K288" s="25" t="n">
        <f aca="false">(I288-J288)*10000000000</f>
        <v>-0.708091363321728</v>
      </c>
      <c r="L288" s="39" t="s">
        <v>100</v>
      </c>
      <c r="N288" s="16" t="n">
        <v>4.3251222944</v>
      </c>
      <c r="O288" s="40" t="n">
        <f aca="false">O289+I288-I289</f>
        <v>4.32512229409999</v>
      </c>
      <c r="P288" s="41" t="n">
        <f aca="false">IF(N288="","",(O288-N288)*10000000000)</f>
        <v>-3.00014235676827</v>
      </c>
      <c r="Q288" s="38" t="n">
        <v>0.05</v>
      </c>
      <c r="R288" s="12" t="n">
        <f aca="false">I288-COS(RADIANS(D288+E288/60+F288/3600))/SIN(RADIANS(D288+E288/60+F288/3600))*RADIANS(Q288/3600)/LN(10)</f>
        <v>9.99734392387892</v>
      </c>
      <c r="S288" s="40" t="n">
        <f aca="false">S289+R288-R289</f>
        <v>4.32511169736078</v>
      </c>
      <c r="T288" s="40" t="n">
        <f aca="false">T289+J288-J289</f>
        <v>4.3251211577914</v>
      </c>
      <c r="U288" s="42" t="n">
        <f aca="false">Summary!$C$6*ASIN(10^O288/Summary!$C$6)</f>
        <v>21140.9902093953</v>
      </c>
      <c r="V288" s="15" t="n">
        <v>21140.9902</v>
      </c>
      <c r="W288" s="43" t="n">
        <f aca="false">IF(V288="","",(V288-U288)*Summary!$C$7*1000)</f>
        <v>-0.0183117097525493</v>
      </c>
      <c r="X288" s="44" t="n">
        <f aca="false">U288*Summary!$C$7</f>
        <v>41204.5634983965</v>
      </c>
    </row>
    <row r="289" customFormat="false" ht="15" hidden="false" customHeight="false" outlineLevel="0" collapsed="false">
      <c r="A289" s="45" t="n">
        <v>95</v>
      </c>
      <c r="B289" s="45" t="s">
        <v>364</v>
      </c>
      <c r="C289" s="45" t="s">
        <v>359</v>
      </c>
      <c r="D289" s="46" t="n">
        <v>58</v>
      </c>
      <c r="E289" s="46" t="n">
        <v>41</v>
      </c>
      <c r="F289" s="47" t="n">
        <v>44.98</v>
      </c>
      <c r="G289" s="47" t="n">
        <v>0.31</v>
      </c>
      <c r="H289" s="48" t="n">
        <v>9.9316719123</v>
      </c>
      <c r="I289" s="49" t="n">
        <f aca="false">H289</f>
        <v>9.9316719123</v>
      </c>
      <c r="J289" s="49" t="n">
        <f aca="false">10+LOG10(SIN(RADIANS(D289+E289/60+F289/3600)))</f>
        <v>9.93167191239994</v>
      </c>
      <c r="K289" s="50" t="n">
        <f aca="false">(I289-J289)*10000000000</f>
        <v>-0.999378357846581</v>
      </c>
      <c r="L289" s="51" t="s">
        <v>103</v>
      </c>
      <c r="M289" s="51" t="n">
        <v>94</v>
      </c>
      <c r="N289" s="52"/>
      <c r="O289" s="52" t="n">
        <f aca="false">O284</f>
        <v>4.25945029419999</v>
      </c>
      <c r="P289" s="53"/>
      <c r="Q289" s="46" t="n">
        <v>-0.1</v>
      </c>
      <c r="R289" s="49" t="n">
        <f aca="false">I289-COS(RADIANS(D289+E289/60+F289/3600))/SIN(RADIANS(D289+E289/60+F289/3600))*RADIANS(Q289/3600)/LN(10)</f>
        <v>9.93167204033857</v>
      </c>
      <c r="S289" s="52" t="n">
        <f aca="false">S284</f>
        <v>4.25943981382043</v>
      </c>
      <c r="T289" s="52" t="n">
        <f aca="false">T284</f>
        <v>4.25944915792053</v>
      </c>
      <c r="U289" s="54"/>
      <c r="V289" s="54"/>
      <c r="W289" s="56"/>
      <c r="X289" s="57"/>
      <c r="Y289" s="51"/>
    </row>
    <row r="290" customFormat="false" ht="15" hidden="false" customHeight="false" outlineLevel="0" collapsed="false">
      <c r="A290" s="58" t="n">
        <v>96</v>
      </c>
      <c r="B290" s="58" t="s">
        <v>358</v>
      </c>
      <c r="C290" s="58" t="s">
        <v>365</v>
      </c>
      <c r="D290" s="59" t="n">
        <v>36</v>
      </c>
      <c r="E290" s="59" t="n">
        <v>8</v>
      </c>
      <c r="F290" s="60" t="n">
        <v>25.11</v>
      </c>
      <c r="G290" s="60" t="n">
        <v>0.6</v>
      </c>
      <c r="H290" s="61" t="n">
        <v>9.770678732</v>
      </c>
      <c r="I290" s="62" t="n">
        <f aca="false">H290</f>
        <v>9.770678732</v>
      </c>
      <c r="J290" s="62" t="n">
        <f aca="false">10+LOG10(SIN(RADIANS(D290+E290/60+F290/3600)))</f>
        <v>9.7706787325895</v>
      </c>
      <c r="K290" s="63" t="n">
        <f aca="false">(I290-J290)*10000000000</f>
        <v>-5.89498228009688</v>
      </c>
      <c r="L290" s="64" t="s">
        <v>100</v>
      </c>
      <c r="M290" s="64"/>
      <c r="N290" s="61" t="n">
        <v>4.0995656066</v>
      </c>
      <c r="O290" s="65" t="n">
        <f aca="false">O292+I290-I292</f>
        <v>4.09956560619999</v>
      </c>
      <c r="P290" s="66" t="n">
        <f aca="false">IF(N290="","",(O290-N290)*10000000000)</f>
        <v>-4.00013355772444</v>
      </c>
      <c r="Q290" s="59" t="n">
        <v>0</v>
      </c>
      <c r="R290" s="62" t="n">
        <f aca="false">I290-COS(RADIANS(D290+E290/60+F290/3600))/SIN(RADIANS(D290+E290/60+F290/3600))*RADIANS(Q290/3600)/LN(10)</f>
        <v>9.770678732</v>
      </c>
      <c r="S290" s="65" t="n">
        <f aca="false">S292+R290-R292</f>
        <v>4.09955499553899</v>
      </c>
      <c r="T290" s="65" t="n">
        <f aca="false">T292+J290-J292</f>
        <v>4.09956447047375</v>
      </c>
      <c r="U290" s="67" t="n">
        <f aca="false">Summary!$C$6*ASIN(10^O290/Summary!$C$6)</f>
        <v>12576.6993435992</v>
      </c>
      <c r="V290" s="68" t="n">
        <v>12576.711</v>
      </c>
      <c r="W290" s="69" t="n">
        <f aca="false">IF(V290="","",(V290-U290)*Summary!$C$7*1000)</f>
        <v>22.7187516530181</v>
      </c>
      <c r="X290" s="70" t="n">
        <f aca="false">U290*Summary!$C$7</f>
        <v>24512.4472208153</v>
      </c>
      <c r="Y290" s="71" t="n">
        <f aca="false">(D290+D291+D292-180)*3600+(E290+E291+E292)*60+F290+F291+F292-(G290+G291+G292)</f>
        <v>0</v>
      </c>
    </row>
    <row r="291" customFormat="false" ht="15" hidden="false" customHeight="false" outlineLevel="0" collapsed="false">
      <c r="A291" s="58" t="n">
        <v>96</v>
      </c>
      <c r="B291" s="58" t="s">
        <v>364</v>
      </c>
      <c r="C291" s="58" t="s">
        <v>366</v>
      </c>
      <c r="D291" s="59" t="n">
        <v>61</v>
      </c>
      <c r="E291" s="59" t="n">
        <v>23</v>
      </c>
      <c r="F291" s="60" t="n">
        <v>36.44</v>
      </c>
      <c r="G291" s="60" t="n">
        <v>0.66</v>
      </c>
      <c r="H291" s="61" t="n">
        <v>9.943459045</v>
      </c>
      <c r="I291" s="62" t="n">
        <f aca="false">H291</f>
        <v>9.943459045</v>
      </c>
      <c r="J291" s="62" t="n">
        <f aca="false">10+LOG10(SIN(RADIANS(D291+E291/60+F291/3600)))</f>
        <v>9.9434590450188</v>
      </c>
      <c r="K291" s="63" t="n">
        <f aca="false">(I291-J291)*10000000000</f>
        <v>-0.188009607882123</v>
      </c>
      <c r="L291" s="64" t="s">
        <v>100</v>
      </c>
      <c r="M291" s="64"/>
      <c r="N291" s="61" t="n">
        <v>4.2723459196</v>
      </c>
      <c r="O291" s="65" t="n">
        <f aca="false">O292+I291-I292</f>
        <v>4.27234591919999</v>
      </c>
      <c r="P291" s="66" t="n">
        <f aca="false">IF(N291="","",(O291-N291)*10000000000)</f>
        <v>-4.00013355772444</v>
      </c>
      <c r="Q291" s="59" t="n">
        <v>0.05</v>
      </c>
      <c r="R291" s="62" t="n">
        <f aca="false">I291-COS(RADIANS(D291+E291/60+F291/3600))/SIN(RADIANS(D291+E291/60+F291/3600))*RADIANS(Q291/3600)/LN(10)</f>
        <v>9.94345898758609</v>
      </c>
      <c r="S291" s="65" t="n">
        <f aca="false">S292+R291-R292</f>
        <v>4.27233525112507</v>
      </c>
      <c r="T291" s="65" t="n">
        <f aca="false">T292+J291-J292</f>
        <v>4.27234478290305</v>
      </c>
      <c r="U291" s="67" t="n">
        <f aca="false">Summary!$C$6*ASIN(10^O291/Summary!$C$6)</f>
        <v>18721.8299487104</v>
      </c>
      <c r="V291" s="68" t="n">
        <v>18721.8299</v>
      </c>
      <c r="W291" s="69" t="n">
        <f aca="false">IF(V291="","",(V291-U291)*Summary!$C$7*1000)</f>
        <v>-0.0949383321437654</v>
      </c>
      <c r="X291" s="70" t="n">
        <f aca="false">U291*Summary!$C$7</f>
        <v>36489.5316296485</v>
      </c>
      <c r="Y291" s="64"/>
    </row>
    <row r="292" customFormat="false" ht="15" hidden="false" customHeight="false" outlineLevel="0" collapsed="false">
      <c r="A292" s="72" t="n">
        <v>96</v>
      </c>
      <c r="B292" s="72" t="s">
        <v>367</v>
      </c>
      <c r="C292" s="72" t="s">
        <v>363</v>
      </c>
      <c r="D292" s="73" t="n">
        <v>82</v>
      </c>
      <c r="E292" s="73" t="n">
        <v>28</v>
      </c>
      <c r="F292" s="74" t="n">
        <v>0.69</v>
      </c>
      <c r="G292" s="74" t="n">
        <v>0.98</v>
      </c>
      <c r="H292" s="75" t="n">
        <v>9.9962354199</v>
      </c>
      <c r="I292" s="76" t="n">
        <f aca="false">H292</f>
        <v>9.9962354199</v>
      </c>
      <c r="J292" s="76" t="n">
        <f aca="false">10+LOG10(SIN(RADIANS(D292+E292/60+F292/3600)))</f>
        <v>9.99623541990716</v>
      </c>
      <c r="K292" s="77" t="n">
        <f aca="false">(I292-J292)*10000000000</f>
        <v>-0.0715516534910421</v>
      </c>
      <c r="L292" s="78" t="s">
        <v>103</v>
      </c>
      <c r="M292" s="78" t="n">
        <v>95</v>
      </c>
      <c r="N292" s="79"/>
      <c r="O292" s="79" t="n">
        <f aca="false">O288</f>
        <v>4.32512229409999</v>
      </c>
      <c r="P292" s="80"/>
      <c r="Q292" s="73" t="n">
        <v>-0.05</v>
      </c>
      <c r="R292" s="76" t="n">
        <f aca="false">I292-COS(RADIANS(D292+E292/60+F292/3600))/SIN(RADIANS(D292+E292/60+F292/3600))*RADIANS(Q292/3600)/LN(10)</f>
        <v>9.9962354338218</v>
      </c>
      <c r="S292" s="79" t="n">
        <f aca="false">S288</f>
        <v>4.32511169736078</v>
      </c>
      <c r="T292" s="79" t="n">
        <f aca="false">T288</f>
        <v>4.3251211577914</v>
      </c>
      <c r="U292" s="81"/>
      <c r="V292" s="81"/>
      <c r="W292" s="82"/>
      <c r="X292" s="83"/>
      <c r="Y292" s="78"/>
    </row>
    <row r="293" customFormat="false" ht="15" hidden="false" customHeight="false" outlineLevel="0" collapsed="false">
      <c r="A293" s="5" t="n">
        <v>97</v>
      </c>
      <c r="B293" s="5" t="s">
        <v>364</v>
      </c>
      <c r="C293" s="5" t="s">
        <v>368</v>
      </c>
      <c r="D293" s="38" t="n">
        <v>51</v>
      </c>
      <c r="E293" s="38" t="n">
        <v>22</v>
      </c>
      <c r="F293" s="30" t="n">
        <v>11.76</v>
      </c>
      <c r="G293" s="30" t="n">
        <v>0.47</v>
      </c>
      <c r="H293" s="16" t="n">
        <v>9.8927583295</v>
      </c>
      <c r="I293" s="12" t="n">
        <f aca="false">H293</f>
        <v>9.8927583295</v>
      </c>
      <c r="J293" s="12" t="n">
        <f aca="false">10+LOG10(SIN(RADIANS(D293+E293/60+F293/3600)))</f>
        <v>9.89275832990518</v>
      </c>
      <c r="K293" s="25" t="n">
        <f aca="false">(I293-J293)*10000000000</f>
        <v>-4.05176336926161</v>
      </c>
      <c r="L293" s="39" t="s">
        <v>100</v>
      </c>
      <c r="N293" s="16" t="n">
        <v>4.2353952686</v>
      </c>
      <c r="O293" s="40" t="n">
        <f aca="false">O295+I293-I295</f>
        <v>4.23539526809999</v>
      </c>
      <c r="P293" s="41" t="n">
        <f aca="false">IF(N293="","",(O293-N293)*10000000000)</f>
        <v>-5.00014252224901</v>
      </c>
      <c r="Q293" s="38" t="n">
        <v>0.05</v>
      </c>
      <c r="R293" s="12" t="n">
        <f aca="false">I293-COS(RADIANS(D293+E293/60+F293/3600))/SIN(RADIANS(D293+E293/60+F293/3600))*RADIANS(Q293/3600)/LN(10)</f>
        <v>9.89275824536882</v>
      </c>
      <c r="S293" s="40" t="n">
        <f aca="false">S295+R293-R295</f>
        <v>4.23538457330781</v>
      </c>
      <c r="T293" s="40" t="n">
        <f aca="false">T295+J293-J295</f>
        <v>4.23539413260401</v>
      </c>
      <c r="U293" s="42" t="n">
        <f aca="false">Summary!$C$6*ASIN(10^O293/Summary!$C$6)</f>
        <v>17194.8057187386</v>
      </c>
      <c r="V293" s="15" t="n">
        <v>17194.8057</v>
      </c>
      <c r="W293" s="43" t="n">
        <f aca="false">IF(V293="","",(V293-U293)*Summary!$C$7*1000)</f>
        <v>-0.036522152215526</v>
      </c>
      <c r="X293" s="44" t="n">
        <f aca="false">U293*Summary!$C$7</f>
        <v>33513.305529345</v>
      </c>
      <c r="Y293" s="26" t="n">
        <f aca="false">(D293+D294+D295-180)*3600+(E293+E294+E295)*60+F293+F294+F295-(G293+G294+G295)</f>
        <v>0</v>
      </c>
    </row>
    <row r="294" customFormat="false" ht="15" hidden="false" customHeight="false" outlineLevel="0" collapsed="false">
      <c r="A294" s="5" t="n">
        <v>97</v>
      </c>
      <c r="B294" s="5" t="s">
        <v>367</v>
      </c>
      <c r="C294" s="5" t="s">
        <v>369</v>
      </c>
      <c r="D294" s="38" t="n">
        <v>93</v>
      </c>
      <c r="E294" s="38" t="n">
        <v>47</v>
      </c>
      <c r="F294" s="30" t="n">
        <v>1.65</v>
      </c>
      <c r="G294" s="30" t="n">
        <v>1.12</v>
      </c>
      <c r="H294" s="16" t="n">
        <v>9.9990522814</v>
      </c>
      <c r="I294" s="12" t="n">
        <f aca="false">H294</f>
        <v>9.9990522814</v>
      </c>
      <c r="J294" s="12" t="n">
        <f aca="false">10+LOG10(SIN(RADIANS(D294+E294/60+F294/3600)))</f>
        <v>9.99905228138134</v>
      </c>
      <c r="K294" s="25" t="n">
        <f aca="false">(I294-J294)*10000000000</f>
        <v>0.18662404954739</v>
      </c>
      <c r="L294" s="39" t="s">
        <v>100</v>
      </c>
      <c r="N294" s="16" t="n">
        <v>4.3416892203</v>
      </c>
      <c r="O294" s="40" t="n">
        <f aca="false">O295+I294-I295</f>
        <v>4.34168921999999</v>
      </c>
      <c r="P294" s="41" t="n">
        <f aca="false">IF(N294="","",(O294-N294)*10000000000)</f>
        <v>-3.00015123855246</v>
      </c>
      <c r="Q294" s="38" t="n">
        <v>-0.05</v>
      </c>
      <c r="R294" s="12" t="n">
        <f aca="false">I294-COS(RADIANS(D294+E294/60+F294/3600))/SIN(RADIANS(D294+E294/60+F294/3600))*RADIANS(Q294/3600)/LN(10)</f>
        <v>9.99905227443749</v>
      </c>
      <c r="S294" s="40" t="n">
        <f aca="false">S295+R294-R295</f>
        <v>4.34167860237648</v>
      </c>
      <c r="T294" s="40" t="n">
        <f aca="false">T295+J294-J295</f>
        <v>4.34168808408017</v>
      </c>
      <c r="U294" s="42" t="n">
        <f aca="false">Summary!$C$6*ASIN(10^O294/Summary!$C$6)</f>
        <v>21963.0419601994</v>
      </c>
      <c r="V294" s="15" t="n">
        <v>21963.0425</v>
      </c>
      <c r="W294" s="43" t="n">
        <f aca="false">IF(V294="","",(V294-U294)*Summary!$C$7*1000)</f>
        <v>1.05209115628541</v>
      </c>
      <c r="X294" s="44" t="n">
        <f aca="false">U294*Summary!$C$7</f>
        <v>42806.7724408103</v>
      </c>
    </row>
    <row r="295" customFormat="false" ht="15" hidden="false" customHeight="false" outlineLevel="0" collapsed="false">
      <c r="A295" s="45" t="n">
        <v>97</v>
      </c>
      <c r="B295" s="45" t="s">
        <v>370</v>
      </c>
      <c r="C295" s="45" t="s">
        <v>365</v>
      </c>
      <c r="D295" s="46" t="n">
        <v>34</v>
      </c>
      <c r="E295" s="46" t="n">
        <v>50</v>
      </c>
      <c r="F295" s="47" t="n">
        <v>48.65</v>
      </c>
      <c r="G295" s="47" t="n">
        <v>0.47</v>
      </c>
      <c r="H295" s="48" t="n">
        <v>9.7569286676</v>
      </c>
      <c r="I295" s="49" t="n">
        <f aca="false">H295</f>
        <v>9.7569286676</v>
      </c>
      <c r="J295" s="49" t="n">
        <f aca="false">10+LOG10(SIN(RADIANS(D295+E295/60+F295/3600)))</f>
        <v>9.75692866777492</v>
      </c>
      <c r="K295" s="50" t="n">
        <f aca="false">(I295-J295)*10000000000</f>
        <v>-1.74914305262064</v>
      </c>
      <c r="L295" s="51" t="s">
        <v>103</v>
      </c>
      <c r="M295" s="51" t="n">
        <v>96</v>
      </c>
      <c r="N295" s="52"/>
      <c r="O295" s="52" t="n">
        <f aca="false">O290</f>
        <v>4.09956560619999</v>
      </c>
      <c r="P295" s="53"/>
      <c r="Q295" s="46" t="n">
        <v>0</v>
      </c>
      <c r="R295" s="49" t="n">
        <f aca="false">I295-COS(RADIANS(D295+E295/60+F295/3600))/SIN(RADIANS(D295+E295/60+F295/3600))*RADIANS(Q295/3600)/LN(10)</f>
        <v>9.7569286676</v>
      </c>
      <c r="S295" s="52" t="n">
        <f aca="false">S290</f>
        <v>4.09955499553899</v>
      </c>
      <c r="T295" s="52" t="n">
        <f aca="false">T290</f>
        <v>4.09956447047375</v>
      </c>
      <c r="U295" s="54"/>
      <c r="V295" s="54"/>
      <c r="W295" s="56"/>
      <c r="X295" s="57"/>
      <c r="Y295" s="51"/>
    </row>
    <row r="296" customFormat="false" ht="15" hidden="false" customHeight="false" outlineLevel="0" collapsed="false">
      <c r="A296" s="58" t="n">
        <v>98</v>
      </c>
      <c r="B296" s="58" t="s">
        <v>367</v>
      </c>
      <c r="C296" s="58" t="s">
        <v>371</v>
      </c>
      <c r="D296" s="59" t="n">
        <v>45</v>
      </c>
      <c r="E296" s="59" t="n">
        <v>2</v>
      </c>
      <c r="F296" s="60" t="n">
        <v>10.57</v>
      </c>
      <c r="G296" s="60" t="n">
        <v>0.39</v>
      </c>
      <c r="H296" s="61" t="n">
        <v>9.8497597459</v>
      </c>
      <c r="I296" s="62" t="n">
        <f aca="false">H296</f>
        <v>9.8497597459</v>
      </c>
      <c r="J296" s="62" t="n">
        <f aca="false">10+LOG10(SIN(RADIANS(D296+E296/60+F296/3600)))</f>
        <v>9.84975974583698</v>
      </c>
      <c r="K296" s="63" t="n">
        <f aca="false">(I296-J296)*10000000000</f>
        <v>0.630251406619209</v>
      </c>
      <c r="L296" s="64" t="s">
        <v>100</v>
      </c>
      <c r="M296" s="64"/>
      <c r="N296" s="61" t="n">
        <v>4.0858259518</v>
      </c>
      <c r="O296" s="65" t="n">
        <f aca="false">O298+I296-I298</f>
        <v>4.08582595119999</v>
      </c>
      <c r="P296" s="66" t="n">
        <f aca="false">IF(N296="","",(O296-N296)*10000000000)</f>
        <v>-6.00014260498938</v>
      </c>
      <c r="Q296" s="59" t="n">
        <v>0</v>
      </c>
      <c r="R296" s="62" t="n">
        <f aca="false">I296-COS(RADIANS(D296+E296/60+F296/3600))/SIN(RADIANS(D296+E296/60+F296/3600))*RADIANS(Q296/3600)/LN(10)</f>
        <v>9.8497597459</v>
      </c>
      <c r="S296" s="65" t="n">
        <f aca="false">S298+R296-R298</f>
        <v>4.08581525523653</v>
      </c>
      <c r="T296" s="65" t="n">
        <f aca="false">T298+J296-J298</f>
        <v>4.08582481561833</v>
      </c>
      <c r="U296" s="67" t="n">
        <f aca="false">Summary!$C$6*ASIN(10^O296/Summary!$C$6)</f>
        <v>12185.0399695591</v>
      </c>
      <c r="V296" s="68" t="n">
        <v>12185.0318</v>
      </c>
      <c r="W296" s="69" t="n">
        <f aca="false">IF(V296="","",(V296-U296)*Summary!$C$7*1000)</f>
        <v>-15.9227695544129</v>
      </c>
      <c r="X296" s="70" t="n">
        <f aca="false">U296*Summary!$C$7</f>
        <v>23749.0887694119</v>
      </c>
      <c r="Y296" s="71" t="n">
        <f aca="false">(D296+D297+D298-180)*3600+(E296+E297+E298)*60+F296+F297+F298-(G296+G297+G298)</f>
        <v>-7.105427357601E-015</v>
      </c>
    </row>
    <row r="297" customFormat="false" ht="15" hidden="false" customHeight="false" outlineLevel="0" collapsed="false">
      <c r="A297" s="58" t="n">
        <v>98</v>
      </c>
      <c r="B297" s="58" t="s">
        <v>370</v>
      </c>
      <c r="C297" s="58" t="s">
        <v>372</v>
      </c>
      <c r="D297" s="59" t="n">
        <v>48</v>
      </c>
      <c r="E297" s="59" t="n">
        <v>8</v>
      </c>
      <c r="F297" s="60" t="n">
        <v>53.37</v>
      </c>
      <c r="G297" s="60" t="n">
        <v>0.4</v>
      </c>
      <c r="H297" s="61" t="n">
        <v>9.8720820053</v>
      </c>
      <c r="I297" s="62" t="n">
        <f aca="false">H297</f>
        <v>9.8720820053</v>
      </c>
      <c r="J297" s="62" t="n">
        <f aca="false">10+LOG10(SIN(RADIANS(D297+E297/60+F297/3600)))</f>
        <v>9.87208200545414</v>
      </c>
      <c r="K297" s="63" t="n">
        <f aca="false">(I297-J297)*10000000000</f>
        <v>-1.54143364738957</v>
      </c>
      <c r="L297" s="64" t="s">
        <v>100</v>
      </c>
      <c r="M297" s="64"/>
      <c r="N297" s="61" t="n">
        <v>4.1081482112</v>
      </c>
      <c r="O297" s="65" t="n">
        <f aca="false">O298+I297-I298</f>
        <v>4.10814821059999</v>
      </c>
      <c r="P297" s="66" t="n">
        <f aca="false">IF(N297="","",(O297-N297)*10000000000)</f>
        <v>-6.00014260498938</v>
      </c>
      <c r="Q297" s="59" t="n">
        <v>0.01</v>
      </c>
      <c r="R297" s="62" t="n">
        <f aca="false">I297-COS(RADIANS(D297+E297/60+F297/3600))/SIN(RADIANS(D297+E297/60+F297/3600))*RADIANS(Q297/3600)/LN(10)</f>
        <v>9.87208198644018</v>
      </c>
      <c r="S297" s="65" t="n">
        <f aca="false">S298+R297-R298</f>
        <v>4.10813749577671</v>
      </c>
      <c r="T297" s="65" t="n">
        <f aca="false">T298+J297-J298</f>
        <v>4.1081470752355</v>
      </c>
      <c r="U297" s="67" t="n">
        <f aca="false">Summary!$C$6*ASIN(10^O297/Summary!$C$6)</f>
        <v>12827.7157118438</v>
      </c>
      <c r="V297" s="68" t="n">
        <v>12827.7187</v>
      </c>
      <c r="W297" s="69" t="n">
        <f aca="false">IF(V297="","",(V297-U297)*Summary!$C$7*1000)</f>
        <v>5.82402582183662</v>
      </c>
      <c r="X297" s="70" t="n">
        <f aca="false">U297*Summary!$C$7</f>
        <v>25001.6873075863</v>
      </c>
      <c r="Y297" s="64"/>
    </row>
    <row r="298" customFormat="false" ht="15" hidden="false" customHeight="false" outlineLevel="0" collapsed="false">
      <c r="A298" s="72" t="n">
        <v>98</v>
      </c>
      <c r="B298" s="72" t="s">
        <v>373</v>
      </c>
      <c r="C298" s="72" t="s">
        <v>368</v>
      </c>
      <c r="D298" s="73" t="n">
        <v>86</v>
      </c>
      <c r="E298" s="73" t="n">
        <v>48</v>
      </c>
      <c r="F298" s="74" t="n">
        <v>57.56</v>
      </c>
      <c r="G298" s="74" t="n">
        <v>0.71</v>
      </c>
      <c r="H298" s="75" t="n">
        <v>9.9993290628</v>
      </c>
      <c r="I298" s="76" t="n">
        <f aca="false">H298</f>
        <v>9.9993290628</v>
      </c>
      <c r="J298" s="76" t="n">
        <f aca="false">10+LOG10(SIN(RADIANS(D298+E298/60+F298/3600)))</f>
        <v>9.99932906282265</v>
      </c>
      <c r="K298" s="77" t="n">
        <f aca="false">(I298-J298)*10000000000</f>
        <v>-0.226503260591926</v>
      </c>
      <c r="L298" s="78" t="s">
        <v>103</v>
      </c>
      <c r="M298" s="78" t="n">
        <v>97</v>
      </c>
      <c r="N298" s="79"/>
      <c r="O298" s="79" t="n">
        <f aca="false">O293</f>
        <v>4.23539526809999</v>
      </c>
      <c r="P298" s="80"/>
      <c r="Q298" s="73" t="n">
        <v>-0.01</v>
      </c>
      <c r="R298" s="76" t="n">
        <f aca="false">I298-COS(RADIANS(D298+E298/60+F298/3600))/SIN(RADIANS(D298+E298/60+F298/3600))*RADIANS(Q298/3600)/LN(10)</f>
        <v>9.99932906397127</v>
      </c>
      <c r="S298" s="79" t="n">
        <f aca="false">S293</f>
        <v>4.23538457330781</v>
      </c>
      <c r="T298" s="79" t="n">
        <f aca="false">T293</f>
        <v>4.23539413260401</v>
      </c>
      <c r="U298" s="81"/>
      <c r="V298" s="81"/>
      <c r="W298" s="82"/>
      <c r="X298" s="83"/>
      <c r="Y298" s="78"/>
    </row>
    <row r="299" customFormat="false" ht="15" hidden="false" customHeight="false" outlineLevel="0" collapsed="false">
      <c r="A299" s="5" t="n">
        <v>99</v>
      </c>
      <c r="B299" s="5" t="s">
        <v>370</v>
      </c>
      <c r="C299" s="5" t="s">
        <v>374</v>
      </c>
      <c r="D299" s="38" t="n">
        <v>75</v>
      </c>
      <c r="E299" s="38" t="n">
        <v>30</v>
      </c>
      <c r="F299" s="30" t="n">
        <v>28.85</v>
      </c>
      <c r="G299" s="30" t="n">
        <v>0.85</v>
      </c>
      <c r="H299" s="16" t="n">
        <v>9.9859572962</v>
      </c>
      <c r="I299" s="12" t="n">
        <f aca="false">H299</f>
        <v>9.9859572962</v>
      </c>
      <c r="J299" s="12" t="n">
        <f aca="false">10+LOG10(SIN(RADIANS(D299+E299/60+F299/3600)))</f>
        <v>9.98595729630125</v>
      </c>
      <c r="K299" s="25" t="n">
        <f aca="false">(I299-J299)*10000000000</f>
        <v>-1.01247010775296</v>
      </c>
      <c r="L299" s="39" t="s">
        <v>100</v>
      </c>
      <c r="N299" s="16" t="n">
        <v>4.3019096175</v>
      </c>
      <c r="O299" s="40" t="n">
        <f aca="false">O301+I299-I301</f>
        <v>4.30190961689999</v>
      </c>
      <c r="P299" s="41" t="n">
        <f aca="false">IF(N299="","",(O299-N299)*10000000000)</f>
        <v>-6.00012484142098</v>
      </c>
      <c r="Q299" s="38" t="n">
        <v>-0.01</v>
      </c>
      <c r="R299" s="12" t="n">
        <f aca="false">I299-COS(RADIANS(D299+E299/60+F299/3600))/SIN(RADIANS(D299+E299/60+F299/3600))*RADIANS(Q299/3600)/LN(10)</f>
        <v>9.9859573016421</v>
      </c>
      <c r="S299" s="40" t="n">
        <f aca="false">S301+R299-R301</f>
        <v>4.30189892637863</v>
      </c>
      <c r="T299" s="40" t="n">
        <f aca="false">T301+J299-J301</f>
        <v>4.30190848103166</v>
      </c>
      <c r="U299" s="42" t="n">
        <f aca="false">Summary!$C$6*ASIN(10^O299/Summary!$C$6)</f>
        <v>20040.6747907077</v>
      </c>
      <c r="V299" s="15" t="n">
        <v>20040.721</v>
      </c>
      <c r="W299" s="43" t="n">
        <f aca="false">IF(V299="","",(V299-U299)*Summary!$C$7*1000)</f>
        <v>90.0636014758751</v>
      </c>
      <c r="X299" s="44" t="n">
        <f aca="false">U299*Summary!$C$7</f>
        <v>39060.0084851963</v>
      </c>
      <c r="Y299" s="26" t="n">
        <f aca="false">(D299+D300+D301-180)*3600+(E299+E300+E301)*60+F299+F300+F301-(G299+G300+G301)</f>
        <v>-9.32587340685132E-015</v>
      </c>
    </row>
    <row r="300" customFormat="false" ht="15" hidden="false" customHeight="false" outlineLevel="0" collapsed="false">
      <c r="A300" s="5" t="n">
        <v>99</v>
      </c>
      <c r="B300" s="5" t="s">
        <v>373</v>
      </c>
      <c r="C300" s="5" t="s">
        <v>375</v>
      </c>
      <c r="D300" s="38" t="n">
        <v>68</v>
      </c>
      <c r="E300" s="38" t="n">
        <v>25</v>
      </c>
      <c r="F300" s="30" t="n">
        <v>47.08</v>
      </c>
      <c r="G300" s="30" t="n">
        <v>0.76</v>
      </c>
      <c r="H300" s="16" t="n">
        <v>9.9684677563</v>
      </c>
      <c r="I300" s="12" t="n">
        <f aca="false">H300</f>
        <v>9.9684677563</v>
      </c>
      <c r="J300" s="12" t="n">
        <f aca="false">10+LOG10(SIN(RADIANS(D300+E300/60+F300/3600)))</f>
        <v>9.96846775648717</v>
      </c>
      <c r="K300" s="25" t="n">
        <f aca="false">(I300-J300)*10000000000</f>
        <v>-1.87167614740247</v>
      </c>
      <c r="L300" s="39" t="s">
        <v>100</v>
      </c>
      <c r="N300" s="16" t="n">
        <v>4.2844200776</v>
      </c>
      <c r="O300" s="40" t="n">
        <f aca="false">O301+I300-I301</f>
        <v>4.28442007699999</v>
      </c>
      <c r="P300" s="41" t="n">
        <f aca="false">IF(N300="","",(O300-N300)*10000000000)</f>
        <v>-6.00012484142098</v>
      </c>
      <c r="Q300" s="38" t="n">
        <v>0.01</v>
      </c>
      <c r="R300" s="12" t="n">
        <f aca="false">I300-COS(RADIANS(D300+E300/60+F300/3600))/SIN(RADIANS(D300+E300/60+F300/3600))*RADIANS(Q300/3600)/LN(10)</f>
        <v>9.9684677479763</v>
      </c>
      <c r="S300" s="40" t="n">
        <f aca="false">S301+R300-R301</f>
        <v>4.28440937271284</v>
      </c>
      <c r="T300" s="40" t="n">
        <f aca="false">T301+J300-J301</f>
        <v>4.28441894121758</v>
      </c>
      <c r="U300" s="42" t="n">
        <f aca="false">Summary!$C$6*ASIN(10^O300/Summary!$C$6)</f>
        <v>19249.6390259594</v>
      </c>
      <c r="V300" s="15" t="n">
        <v>19249.6391</v>
      </c>
      <c r="W300" s="43" t="n">
        <f aca="false">IF(V300="","",(V300-U300)*Summary!$C$7*1000)</f>
        <v>0.144307880086682</v>
      </c>
      <c r="X300" s="44" t="n">
        <f aca="false">U300*Summary!$C$7</f>
        <v>37518.2508345262</v>
      </c>
    </row>
    <row r="301" customFormat="false" ht="15" hidden="false" customHeight="false" outlineLevel="0" collapsed="false">
      <c r="A301" s="45" t="n">
        <v>99</v>
      </c>
      <c r="B301" s="45" t="s">
        <v>376</v>
      </c>
      <c r="C301" s="45" t="s">
        <v>371</v>
      </c>
      <c r="D301" s="46" t="n">
        <v>36</v>
      </c>
      <c r="E301" s="46" t="n">
        <v>3</v>
      </c>
      <c r="F301" s="47" t="n">
        <v>46.26</v>
      </c>
      <c r="G301" s="47" t="n">
        <v>0.58</v>
      </c>
      <c r="H301" s="48" t="n">
        <v>9.7698736305</v>
      </c>
      <c r="I301" s="49" t="n">
        <f aca="false">H301</f>
        <v>9.7698736305</v>
      </c>
      <c r="J301" s="49" t="n">
        <f aca="false">10+LOG10(SIN(RADIANS(D301+E301/60+F301/3600)))</f>
        <v>9.76987363088792</v>
      </c>
      <c r="K301" s="50" t="n">
        <f aca="false">(I301-J301)*10000000000</f>
        <v>-3.87922582945066</v>
      </c>
      <c r="L301" s="51" t="s">
        <v>103</v>
      </c>
      <c r="M301" s="51" t="n">
        <v>98</v>
      </c>
      <c r="N301" s="52"/>
      <c r="O301" s="52" t="n">
        <f aca="false">O296</f>
        <v>4.08582595119999</v>
      </c>
      <c r="P301" s="53"/>
      <c r="Q301" s="46" t="n">
        <v>0</v>
      </c>
      <c r="R301" s="49" t="n">
        <f aca="false">I301-COS(RADIANS(D301+E301/60+F301/3600))/SIN(RADIANS(D301+E301/60+F301/3600))*RADIANS(Q301/3600)/LN(10)</f>
        <v>9.7698736305</v>
      </c>
      <c r="S301" s="52" t="n">
        <f aca="false">S296</f>
        <v>4.08581525523653</v>
      </c>
      <c r="T301" s="52" t="n">
        <f aca="false">T296</f>
        <v>4.08582481561833</v>
      </c>
      <c r="U301" s="54"/>
      <c r="V301" s="54"/>
      <c r="W301" s="56"/>
      <c r="X301" s="57"/>
      <c r="Y301" s="51"/>
    </row>
    <row r="302" customFormat="false" ht="15" hidden="false" customHeight="false" outlineLevel="0" collapsed="false">
      <c r="A302" s="58" t="n">
        <v>100</v>
      </c>
      <c r="B302" s="58" t="s">
        <v>370</v>
      </c>
      <c r="C302" s="58" t="s">
        <v>377</v>
      </c>
      <c r="D302" s="59" t="n">
        <v>41</v>
      </c>
      <c r="E302" s="59" t="n">
        <v>53</v>
      </c>
      <c r="F302" s="60" t="n">
        <v>53.32</v>
      </c>
      <c r="G302" s="60" t="n">
        <v>0.4</v>
      </c>
      <c r="H302" s="61" t="n">
        <v>9.8246519099</v>
      </c>
      <c r="I302" s="62" t="n">
        <f aca="false">H302</f>
        <v>9.8246519099</v>
      </c>
      <c r="J302" s="62" t="n">
        <f aca="false">10+LOG10(SIN(RADIANS(D302+E302/60+F302/3600)))</f>
        <v>9.82465191014056</v>
      </c>
      <c r="K302" s="63" t="n">
        <f aca="false">(I302-J302)*10000000000</f>
        <v>-2.405595722621</v>
      </c>
      <c r="L302" s="64" t="s">
        <v>100</v>
      </c>
      <c r="M302" s="64"/>
      <c r="N302" s="61" t="n">
        <v>4.1095730081</v>
      </c>
      <c r="O302" s="65" t="n">
        <f aca="false">O304+I302-I304</f>
        <v>4.10957300749999</v>
      </c>
      <c r="P302" s="66" t="n">
        <f aca="false">IF(N302="","",(O302-N302)*10000000000)</f>
        <v>-6.00012484142098</v>
      </c>
      <c r="Q302" s="59" t="n">
        <v>0.01</v>
      </c>
      <c r="R302" s="62" t="n">
        <f aca="false">I302-COS(RADIANS(D302+E302/60+F302/3600))/SIN(RADIANS(D302+E302/60+F302/3600))*RADIANS(Q302/3600)/LN(10)</f>
        <v>9.82465188643208</v>
      </c>
      <c r="S302" s="65" t="n">
        <f aca="false">S304+R302-R304</f>
        <v>4.10956228075687</v>
      </c>
      <c r="T302" s="65" t="n">
        <f aca="false">T304+J302-J304</f>
        <v>4.10957187178667</v>
      </c>
      <c r="U302" s="67" t="n">
        <f aca="false">Summary!$C$6*ASIN(10^O302/Summary!$C$6)</f>
        <v>12869.869131569</v>
      </c>
      <c r="V302" s="68" t="n">
        <v>12869.8692</v>
      </c>
      <c r="W302" s="69" t="n">
        <f aca="false">IF(V302="","",(V302-U302)*Summary!$C$7*1000)</f>
        <v>0.13337450136531</v>
      </c>
      <c r="X302" s="70" t="n">
        <f aca="false">U302*Summary!$C$7</f>
        <v>25083.8458650872</v>
      </c>
      <c r="Y302" s="71" t="n">
        <f aca="false">(D302+D303+D304-180)*3600+(E302+E303+E304)*60+F302+F303+F304-(G302+G303+G304)</f>
        <v>0</v>
      </c>
    </row>
    <row r="303" customFormat="false" ht="15" hidden="false" customHeight="false" outlineLevel="0" collapsed="false">
      <c r="A303" s="58" t="n">
        <v>100</v>
      </c>
      <c r="B303" s="58" t="s">
        <v>376</v>
      </c>
      <c r="C303" s="58" t="s">
        <v>378</v>
      </c>
      <c r="D303" s="59" t="n">
        <v>45</v>
      </c>
      <c r="E303" s="59" t="n">
        <v>21</v>
      </c>
      <c r="F303" s="60" t="n">
        <v>2.52</v>
      </c>
      <c r="G303" s="60" t="n">
        <v>0.42</v>
      </c>
      <c r="H303" s="61" t="n">
        <v>9.852127057</v>
      </c>
      <c r="I303" s="62" t="n">
        <f aca="false">H303</f>
        <v>9.852127057</v>
      </c>
      <c r="J303" s="62" t="n">
        <f aca="false">10+LOG10(SIN(RADIANS(D303+E303/60+F303/3600)))</f>
        <v>9.85212705722542</v>
      </c>
      <c r="K303" s="63" t="n">
        <f aca="false">(I303-J303)*10000000000</f>
        <v>-2.25421459276731</v>
      </c>
      <c r="L303" s="64" t="s">
        <v>100</v>
      </c>
      <c r="M303" s="64"/>
      <c r="N303" s="61" t="n">
        <v>4.1370481551</v>
      </c>
      <c r="O303" s="65" t="n">
        <f aca="false">O304+I303-I304</f>
        <v>4.13704815459999</v>
      </c>
      <c r="P303" s="66" t="n">
        <f aca="false">IF(N303="","",(O303-N303)*10000000000)</f>
        <v>-5.00011587689642</v>
      </c>
      <c r="Q303" s="59" t="n">
        <v>0</v>
      </c>
      <c r="R303" s="62" t="n">
        <f aca="false">I303-COS(RADIANS(D303+E303/60+F303/3600))/SIN(RADIANS(D303+E303/60+F303/3600))*RADIANS(Q303/3600)/LN(10)</f>
        <v>9.852127057</v>
      </c>
      <c r="S303" s="65" t="n">
        <f aca="false">S304+R303-R304</f>
        <v>4.13703745132479</v>
      </c>
      <c r="T303" s="65" t="n">
        <f aca="false">T304+J303-J304</f>
        <v>4.13704701887153</v>
      </c>
      <c r="U303" s="67" t="n">
        <f aca="false">Summary!$C$6*ASIN(10^O303/Summary!$C$6)</f>
        <v>13710.3780241164</v>
      </c>
      <c r="V303" s="68" t="n">
        <v>13710.3781</v>
      </c>
      <c r="W303" s="69" t="n">
        <f aca="false">IF(V303="","",(V303-U303)*Summary!$C$7*1000)</f>
        <v>0.147899894379187</v>
      </c>
      <c r="X303" s="70" t="n">
        <f aca="false">U303*Summary!$C$7</f>
        <v>26722.0284521329</v>
      </c>
      <c r="Y303" s="64"/>
    </row>
    <row r="304" customFormat="false" ht="15" hidden="false" customHeight="false" outlineLevel="0" collapsed="false">
      <c r="A304" s="72" t="n">
        <v>100</v>
      </c>
      <c r="B304" s="72" t="s">
        <v>379</v>
      </c>
      <c r="C304" s="72" t="s">
        <v>375</v>
      </c>
      <c r="D304" s="73" t="n">
        <v>92</v>
      </c>
      <c r="E304" s="73" t="n">
        <v>45</v>
      </c>
      <c r="F304" s="74" t="n">
        <v>5.86</v>
      </c>
      <c r="G304" s="74" t="n">
        <v>0.88</v>
      </c>
      <c r="H304" s="75" t="n">
        <v>9.9994989794</v>
      </c>
      <c r="I304" s="76" t="n">
        <f aca="false">H304</f>
        <v>9.9994989794</v>
      </c>
      <c r="J304" s="76" t="n">
        <f aca="false">10+LOG10(SIN(RADIANS(D304+E304/60+F304/3600)))</f>
        <v>9.99949897957147</v>
      </c>
      <c r="K304" s="77" t="n">
        <f aca="false">(I304-J304)*10000000000</f>
        <v>-1.71473502064146</v>
      </c>
      <c r="L304" s="78" t="s">
        <v>103</v>
      </c>
      <c r="M304" s="78" t="n">
        <v>99</v>
      </c>
      <c r="N304" s="79"/>
      <c r="O304" s="79" t="n">
        <f aca="false">O300</f>
        <v>4.28442007699999</v>
      </c>
      <c r="P304" s="80"/>
      <c r="Q304" s="73" t="n">
        <v>-0.01</v>
      </c>
      <c r="R304" s="76" t="n">
        <f aca="false">I304-COS(RADIANS(D304+E304/60+F304/3600))/SIN(RADIANS(D304+E304/60+F304/3600))*RADIANS(Q304/3600)/LN(10)</f>
        <v>9.99949897838805</v>
      </c>
      <c r="S304" s="79" t="n">
        <f aca="false">S300</f>
        <v>4.28440937271284</v>
      </c>
      <c r="T304" s="79" t="n">
        <f aca="false">T300</f>
        <v>4.28441894121758</v>
      </c>
      <c r="U304" s="81"/>
      <c r="V304" s="81"/>
      <c r="W304" s="82"/>
      <c r="X304" s="83"/>
      <c r="Y304" s="78"/>
    </row>
    <row r="305" customFormat="false" ht="15" hidden="false" customHeight="false" outlineLevel="0" collapsed="false">
      <c r="A305" s="5" t="n">
        <v>101</v>
      </c>
      <c r="B305" s="5" t="s">
        <v>376</v>
      </c>
      <c r="C305" s="5" t="s">
        <v>380</v>
      </c>
      <c r="D305" s="38" t="n">
        <v>41</v>
      </c>
      <c r="E305" s="38" t="n">
        <v>57</v>
      </c>
      <c r="F305" s="30" t="n">
        <v>26.78</v>
      </c>
      <c r="G305" s="30" t="n">
        <v>0.32</v>
      </c>
      <c r="H305" s="16" t="n">
        <v>9.8251523349</v>
      </c>
      <c r="I305" s="12" t="n">
        <f aca="false">H305</f>
        <v>9.8251523349</v>
      </c>
      <c r="J305" s="12" t="n">
        <f aca="false">10+LOG10(SIN(RADIANS(D305+E305/60+F305/3600)))</f>
        <v>9.82515233533782</v>
      </c>
      <c r="K305" s="25" t="n">
        <f aca="false">(I305-J305)*10000000000</f>
        <v>-4.3781689385014</v>
      </c>
      <c r="L305" s="39" t="s">
        <v>100</v>
      </c>
      <c r="N305" s="16" t="n">
        <v>4.0204746999</v>
      </c>
      <c r="O305" s="40" t="n">
        <f aca="false">O307+I305-I307</f>
        <v>4.02047469919999</v>
      </c>
      <c r="P305" s="41" t="n">
        <f aca="false">IF(N305="","",(O305-N305)*10000000000)</f>
        <v>-7.00013380594555</v>
      </c>
      <c r="Q305" s="38" t="n">
        <v>0</v>
      </c>
      <c r="R305" s="12" t="n">
        <f aca="false">I305-COS(RADIANS(D305+E305/60+F305/3600))/SIN(RADIANS(D305+E305/60+F305/3600))*RADIANS(Q305/3600)/LN(10)</f>
        <v>9.8251523349</v>
      </c>
      <c r="S305" s="40" t="n">
        <f aca="false">S307+R305-R307</f>
        <v>4.02046397245687</v>
      </c>
      <c r="T305" s="40" t="n">
        <f aca="false">T307+J305-J307</f>
        <v>4.02047356378234</v>
      </c>
      <c r="U305" s="42" t="n">
        <f aca="false">Summary!$C$6*ASIN(10^O305/Summary!$C$6)</f>
        <v>10482.7552103115</v>
      </c>
      <c r="V305" s="15" t="n">
        <v>10482.7553</v>
      </c>
      <c r="W305" s="43" t="n">
        <f aca="false">IF(V305="","",(V305-U305)*Summary!$C$7*1000)</f>
        <v>0.174806234583073</v>
      </c>
      <c r="X305" s="44" t="n">
        <f aca="false">U305*Summary!$C$7</f>
        <v>20431.2734845063</v>
      </c>
      <c r="Y305" s="26" t="n">
        <f aca="false">(D305+D306+D307-180)*3600+(E305+E306+E307)*60+F305+F306+F307-(G305+G306+G307)</f>
        <v>0</v>
      </c>
    </row>
    <row r="306" customFormat="false" ht="15" hidden="false" customHeight="false" outlineLevel="0" collapsed="false">
      <c r="A306" s="5" t="n">
        <v>101</v>
      </c>
      <c r="B306" s="5" t="s">
        <v>379</v>
      </c>
      <c r="C306" s="5" t="s">
        <v>381</v>
      </c>
      <c r="D306" s="38" t="n">
        <v>82</v>
      </c>
      <c r="E306" s="38" t="n">
        <v>52</v>
      </c>
      <c r="F306" s="30" t="n">
        <v>31.57</v>
      </c>
      <c r="G306" s="30" t="n">
        <v>0.58</v>
      </c>
      <c r="H306" s="16" t="n">
        <v>9.9966337372</v>
      </c>
      <c r="I306" s="12" t="n">
        <f aca="false">H306</f>
        <v>9.9966337372</v>
      </c>
      <c r="J306" s="12" t="n">
        <f aca="false">10+LOG10(SIN(RADIANS(D306+E306/60+F306/3600)))</f>
        <v>9.9966337373552</v>
      </c>
      <c r="K306" s="25" t="n">
        <f aca="false">(I306-J306)*10000000000</f>
        <v>-1.55194967987882</v>
      </c>
      <c r="L306" s="39" t="s">
        <v>100</v>
      </c>
      <c r="N306" s="16" t="n">
        <v>4.1919561022</v>
      </c>
      <c r="O306" s="40" t="n">
        <f aca="false">O307+I306-I307</f>
        <v>4.19195610149999</v>
      </c>
      <c r="P306" s="41" t="n">
        <f aca="false">IF(N306="","",(O306-N306)*10000000000)</f>
        <v>-7.00013380594555</v>
      </c>
      <c r="Q306" s="38" t="n">
        <v>0</v>
      </c>
      <c r="R306" s="12" t="n">
        <f aca="false">I306-COS(RADIANS(D306+E306/60+F306/3600))/SIN(RADIANS(D306+E306/60+F306/3600))*RADIANS(Q306/3600)/LN(10)</f>
        <v>9.9966337372</v>
      </c>
      <c r="S306" s="40" t="n">
        <f aca="false">S307+R306-R307</f>
        <v>4.19194537475686</v>
      </c>
      <c r="T306" s="40" t="n">
        <f aca="false">T307+J306-J307</f>
        <v>4.19195496579971</v>
      </c>
      <c r="U306" s="42" t="n">
        <f aca="false">Summary!$C$6*ASIN(10^O306/Summary!$C$6)</f>
        <v>15558.1424310028</v>
      </c>
      <c r="V306" s="15" t="n">
        <v>15558.1421</v>
      </c>
      <c r="W306" s="43" t="n">
        <f aca="false">IF(V306="","",(V306-U306)*Summary!$C$7*1000)</f>
        <v>-0.645136559465845</v>
      </c>
      <c r="X306" s="44" t="n">
        <f aca="false">U306*Summary!$C$7</f>
        <v>30323.3888936032</v>
      </c>
    </row>
    <row r="307" customFormat="false" ht="15" hidden="false" customHeight="false" outlineLevel="0" collapsed="false">
      <c r="A307" s="45" t="n">
        <v>101</v>
      </c>
      <c r="B307" s="45" t="s">
        <v>382</v>
      </c>
      <c r="C307" s="45" t="s">
        <v>377</v>
      </c>
      <c r="D307" s="46" t="n">
        <v>55</v>
      </c>
      <c r="E307" s="46" t="n">
        <v>10</v>
      </c>
      <c r="F307" s="47" t="n">
        <v>2.92</v>
      </c>
      <c r="G307" s="47" t="n">
        <v>0.37</v>
      </c>
      <c r="H307" s="48" t="n">
        <v>9.9142506432</v>
      </c>
      <c r="I307" s="49" t="n">
        <f aca="false">H307</f>
        <v>9.9142506432</v>
      </c>
      <c r="J307" s="49" t="n">
        <f aca="false">10+LOG10(SIN(RADIANS(D307+E307/60+F307/3600)))</f>
        <v>9.91425064334215</v>
      </c>
      <c r="K307" s="50" t="n">
        <f aca="false">(I307-J307)*10000000000</f>
        <v>-1.42145850645647</v>
      </c>
      <c r="L307" s="51" t="s">
        <v>103</v>
      </c>
      <c r="M307" s="51" t="n">
        <v>100</v>
      </c>
      <c r="N307" s="52"/>
      <c r="O307" s="52" t="n">
        <f aca="false">O302</f>
        <v>4.10957300749999</v>
      </c>
      <c r="P307" s="53"/>
      <c r="Q307" s="46" t="n">
        <v>0</v>
      </c>
      <c r="R307" s="49" t="n">
        <f aca="false">I307-COS(RADIANS(D307+E307/60+F307/3600))/SIN(RADIANS(D307+E307/60+F307/3600))*RADIANS(Q307/3600)/LN(10)</f>
        <v>9.9142506432</v>
      </c>
      <c r="S307" s="52" t="n">
        <f aca="false">S302</f>
        <v>4.10956228075687</v>
      </c>
      <c r="T307" s="52" t="n">
        <f aca="false">T302</f>
        <v>4.10957187178667</v>
      </c>
      <c r="U307" s="54"/>
      <c r="V307" s="54"/>
      <c r="W307" s="56"/>
      <c r="X307" s="57"/>
      <c r="Y307" s="51"/>
    </row>
    <row r="308" customFormat="false" ht="15" hidden="false" customHeight="false" outlineLevel="0" collapsed="false">
      <c r="A308" s="58" t="n">
        <v>102</v>
      </c>
      <c r="B308" s="58" t="s">
        <v>379</v>
      </c>
      <c r="C308" s="58" t="s">
        <v>383</v>
      </c>
      <c r="D308" s="59" t="n">
        <v>41</v>
      </c>
      <c r="E308" s="59" t="n">
        <v>53</v>
      </c>
      <c r="F308" s="60" t="n">
        <v>40.57</v>
      </c>
      <c r="G308" s="60" t="n">
        <v>0.1</v>
      </c>
      <c r="H308" s="61" t="n">
        <v>9.8246219867</v>
      </c>
      <c r="I308" s="62" t="n">
        <f aca="false">H308</f>
        <v>9.8246219867</v>
      </c>
      <c r="J308" s="62" t="n">
        <f aca="false">10+LOG10(SIN(RADIANS(D308+E308/60+F308/3600)))</f>
        <v>9.82462198667896</v>
      </c>
      <c r="K308" s="63" t="n">
        <f aca="false">(I308-J308)*10000000000</f>
        <v>0.210373940490172</v>
      </c>
      <c r="L308" s="64" t="s">
        <v>100</v>
      </c>
      <c r="M308" s="64"/>
      <c r="N308" s="61" t="n">
        <v>3.8479920873</v>
      </c>
      <c r="O308" s="65" t="n">
        <f aca="false">O310+I308-I310</f>
        <v>3.84799208659999</v>
      </c>
      <c r="P308" s="66" t="n">
        <f aca="false">IF(N308="","",(O308-N308)*10000000000)</f>
        <v>-7.00012936505345</v>
      </c>
      <c r="Q308" s="59" t="n">
        <v>0</v>
      </c>
      <c r="R308" s="62" t="n">
        <f aca="false">I308-COS(RADIANS(D308+E308/60+F308/3600))/SIN(RADIANS(D308+E308/60+F308/3600))*RADIANS(Q308/3600)/LN(10)</f>
        <v>9.8246219867</v>
      </c>
      <c r="S308" s="65" t="n">
        <f aca="false">S310+R308-R310</f>
        <v>3.84798135985687</v>
      </c>
      <c r="T308" s="65" t="n">
        <f aca="false">T310+J308-J310</f>
        <v>3.84799095108706</v>
      </c>
      <c r="U308" s="67" t="n">
        <f aca="false">Summary!$C$6*ASIN(10^O308/Summary!$C$6)</f>
        <v>7046.80775096137</v>
      </c>
      <c r="V308" s="68" t="n">
        <v>7046.806</v>
      </c>
      <c r="W308" s="69" t="n">
        <f aca="false">IF(V308="","",(V308-U308)*Summary!$C$7*1000)</f>
        <v>-3.41268777668622</v>
      </c>
      <c r="X308" s="70" t="n">
        <f aca="false">U308*Summary!$C$7</f>
        <v>13734.4861598035</v>
      </c>
      <c r="Y308" s="71" t="n">
        <f aca="false">(D308+D309+D310-180)*3600+(E308+E309+E310)*60+F308+F309+F310-(G308+G309+G310)</f>
        <v>-6.7168492989822E-015</v>
      </c>
    </row>
    <row r="309" customFormat="false" ht="15" hidden="false" customHeight="false" outlineLevel="0" collapsed="false">
      <c r="A309" s="58" t="n">
        <v>102</v>
      </c>
      <c r="B309" s="58" t="s">
        <v>382</v>
      </c>
      <c r="C309" s="58" t="s">
        <v>384</v>
      </c>
      <c r="D309" s="59" t="n">
        <v>41</v>
      </c>
      <c r="E309" s="59" t="n">
        <v>29</v>
      </c>
      <c r="F309" s="60" t="n">
        <v>48.53</v>
      </c>
      <c r="G309" s="60" t="n">
        <v>0.11</v>
      </c>
      <c r="H309" s="61" t="n">
        <v>9.8212372731</v>
      </c>
      <c r="I309" s="62" t="n">
        <f aca="false">H309</f>
        <v>9.8212372731</v>
      </c>
      <c r="J309" s="62" t="n">
        <f aca="false">10+LOG10(SIN(RADIANS(D309+E309/60+F309/3600)))</f>
        <v>9.82123727326573</v>
      </c>
      <c r="K309" s="63" t="n">
        <f aca="false">(I309-J309)*10000000000</f>
        <v>-1.65732316759204</v>
      </c>
      <c r="L309" s="64" t="s">
        <v>100</v>
      </c>
      <c r="M309" s="64"/>
      <c r="N309" s="61" t="n">
        <v>3.8446073737</v>
      </c>
      <c r="O309" s="65" t="n">
        <f aca="false">O310+I309-I310</f>
        <v>3.84460737299999</v>
      </c>
      <c r="P309" s="66" t="n">
        <f aca="false">IF(N309="","",(O309-N309)*10000000000)</f>
        <v>-7.00013824683765</v>
      </c>
      <c r="Q309" s="59" t="n">
        <v>0</v>
      </c>
      <c r="R309" s="62" t="n">
        <f aca="false">I309-COS(RADIANS(D309+E309/60+F309/3600))/SIN(RADIANS(D309+E309/60+F309/3600))*RADIANS(Q309/3600)/LN(10)</f>
        <v>9.8212372731</v>
      </c>
      <c r="S309" s="65" t="n">
        <f aca="false">S310+R309-R310</f>
        <v>3.84459664625686</v>
      </c>
      <c r="T309" s="65" t="n">
        <f aca="false">T310+J309-J310</f>
        <v>3.84460623767383</v>
      </c>
      <c r="U309" s="67" t="n">
        <f aca="false">Summary!$C$6*ASIN(10^O309/Summary!$C$6)</f>
        <v>6992.10118595768</v>
      </c>
      <c r="V309" s="68" t="n">
        <v>6992.1012</v>
      </c>
      <c r="W309" s="69" t="n">
        <f aca="false">IF(V309="","",(V309-U309)*Summary!$C$7*1000)</f>
        <v>0.0273690041581698</v>
      </c>
      <c r="X309" s="70" t="n">
        <f aca="false">U309*Summary!$C$7</f>
        <v>13627.8610628167</v>
      </c>
      <c r="Y309" s="64"/>
    </row>
    <row r="310" customFormat="false" ht="15" hidden="false" customHeight="false" outlineLevel="0" collapsed="false">
      <c r="A310" s="72" t="n">
        <v>102</v>
      </c>
      <c r="B310" s="72" t="s">
        <v>385</v>
      </c>
      <c r="C310" s="72" t="s">
        <v>380</v>
      </c>
      <c r="D310" s="73" t="n">
        <v>96</v>
      </c>
      <c r="E310" s="73" t="n">
        <v>36</v>
      </c>
      <c r="F310" s="74" t="n">
        <v>31.38</v>
      </c>
      <c r="G310" s="74" t="n">
        <v>0.27</v>
      </c>
      <c r="H310" s="75" t="n">
        <v>9.9971045993</v>
      </c>
      <c r="I310" s="76" t="n">
        <f aca="false">H310</f>
        <v>9.9971045993</v>
      </c>
      <c r="J310" s="76" t="n">
        <f aca="false">10+LOG10(SIN(RADIANS(D310+E310/60+F310/3600)))</f>
        <v>9.99710459937424</v>
      </c>
      <c r="K310" s="77" t="n">
        <f aca="false">(I310-J310)*10000000000</f>
        <v>-0.742357286753759</v>
      </c>
      <c r="L310" s="78" t="s">
        <v>103</v>
      </c>
      <c r="M310" s="78" t="n">
        <v>101</v>
      </c>
      <c r="N310" s="79"/>
      <c r="O310" s="79" t="n">
        <f aca="false">O305</f>
        <v>4.02047469919999</v>
      </c>
      <c r="P310" s="80"/>
      <c r="Q310" s="73" t="n">
        <v>0</v>
      </c>
      <c r="R310" s="76" t="n">
        <f aca="false">I310-COS(RADIANS(D310+E310/60+F310/3600))/SIN(RADIANS(D310+E310/60+F310/3600))*RADIANS(Q310/3600)/LN(10)</f>
        <v>9.9971045993</v>
      </c>
      <c r="S310" s="79" t="n">
        <f aca="false">S305</f>
        <v>4.02046397245687</v>
      </c>
      <c r="T310" s="79" t="n">
        <f aca="false">T305</f>
        <v>4.02047356378234</v>
      </c>
      <c r="U310" s="81"/>
      <c r="V310" s="81"/>
      <c r="W310" s="82"/>
      <c r="X310" s="83"/>
      <c r="Y310" s="78"/>
    </row>
    <row r="311" customFormat="false" ht="15" hidden="false" customHeight="false" outlineLevel="0" collapsed="false">
      <c r="A311" s="5" t="n">
        <v>103</v>
      </c>
      <c r="B311" s="5" t="s">
        <v>382</v>
      </c>
      <c r="C311" s="5" t="s">
        <v>386</v>
      </c>
      <c r="D311" s="38" t="n">
        <v>55</v>
      </c>
      <c r="E311" s="38" t="n">
        <v>32</v>
      </c>
      <c r="F311" s="30" t="n">
        <v>44.53</v>
      </c>
      <c r="G311" s="30" t="n">
        <v>0.13</v>
      </c>
      <c r="H311" s="16" t="n">
        <v>9.9162316002</v>
      </c>
      <c r="I311" s="12" t="n">
        <f aca="false">H311</f>
        <v>9.9162316002</v>
      </c>
      <c r="J311" s="12" t="n">
        <f aca="false">10+LOG10(SIN(RADIANS(D311+E311/60+F311/3600)))</f>
        <v>9.91623160036776</v>
      </c>
      <c r="K311" s="25" t="n">
        <f aca="false">(I311-J311)*10000000000</f>
        <v>-1.6775736355612</v>
      </c>
      <c r="L311" s="39" t="s">
        <v>100</v>
      </c>
      <c r="N311" s="16" t="n">
        <v>3.8430244689</v>
      </c>
      <c r="O311" s="40" t="n">
        <f aca="false">O313+I311-I313</f>
        <v>3.84302446819999</v>
      </c>
      <c r="P311" s="41" t="n">
        <f aca="false">IF(N311="","",(O311-N311)*10000000000)</f>
        <v>-7.00012936505345</v>
      </c>
      <c r="Q311" s="38" t="n">
        <v>0</v>
      </c>
      <c r="R311" s="12" t="n">
        <f aca="false">I311-COS(RADIANS(D311+E311/60+F311/3600))/SIN(RADIANS(D311+E311/60+F311/3600))*RADIANS(Q311/3600)/LN(10)</f>
        <v>9.9162316002</v>
      </c>
      <c r="S311" s="40" t="n">
        <f aca="false">S313+R311-R313</f>
        <v>3.84301374145687</v>
      </c>
      <c r="T311" s="40" t="n">
        <f aca="false">T313+J311-J313</f>
        <v>3.84302333267576</v>
      </c>
      <c r="U311" s="42" t="n">
        <f aca="false">Summary!$C$6*ASIN(10^O311/Summary!$C$6)</f>
        <v>6966.66291219762</v>
      </c>
      <c r="V311" s="15" t="n">
        <v>6966.663</v>
      </c>
      <c r="W311" s="43" t="n">
        <f aca="false">IF(V311="","",(V311-U311)*Summary!$C$7*1000)</f>
        <v>0.171130044780964</v>
      </c>
      <c r="X311" s="44" t="n">
        <f aca="false">U311*Summary!$C$7</f>
        <v>13578.280936434</v>
      </c>
      <c r="Y311" s="26" t="n">
        <f aca="false">(D311+D312+D313-180)*3600+(E311+E312+E313)*60+F311+F312+F313-(G311+G312+G313)</f>
        <v>0</v>
      </c>
    </row>
    <row r="312" customFormat="false" ht="15" hidden="false" customHeight="false" outlineLevel="0" collapsed="false">
      <c r="A312" s="5" t="n">
        <v>103</v>
      </c>
      <c r="B312" s="5" t="s">
        <v>385</v>
      </c>
      <c r="C312" s="5" t="s">
        <v>387</v>
      </c>
      <c r="D312" s="38" t="n">
        <v>67</v>
      </c>
      <c r="E312" s="38" t="n">
        <v>56</v>
      </c>
      <c r="F312" s="30" t="n">
        <v>9.42</v>
      </c>
      <c r="G312" s="30" t="n">
        <v>0.17</v>
      </c>
      <c r="H312" s="16" t="n">
        <v>9.9669693938</v>
      </c>
      <c r="I312" s="12" t="n">
        <f aca="false">H312</f>
        <v>9.9669693938</v>
      </c>
      <c r="J312" s="12" t="n">
        <f aca="false">10+LOG10(SIN(RADIANS(D312+E312/60+F312/3600)))</f>
        <v>9.96696939379185</v>
      </c>
      <c r="K312" s="25" t="n">
        <f aca="false">(I312-J312)*10000000000</f>
        <v>0.0814637246548955</v>
      </c>
      <c r="L312" s="39" t="s">
        <v>100</v>
      </c>
      <c r="N312" s="16" t="n">
        <v>3.8937622625</v>
      </c>
      <c r="O312" s="40" t="n">
        <f aca="false">O313+I312-I313</f>
        <v>3.89376226179999</v>
      </c>
      <c r="P312" s="41" t="n">
        <f aca="false">IF(N312="","",(O312-N312)*10000000000)</f>
        <v>-7.00013380594555</v>
      </c>
      <c r="Q312" s="38" t="n">
        <v>0</v>
      </c>
      <c r="R312" s="12" t="n">
        <f aca="false">I312-COS(RADIANS(D312+E312/60+F312/3600))/SIN(RADIANS(D312+E312/60+F312/3600))*RADIANS(Q312/3600)/LN(10)</f>
        <v>9.9669693938</v>
      </c>
      <c r="S312" s="40" t="n">
        <f aca="false">S313+R312-R313</f>
        <v>3.89375153505686</v>
      </c>
      <c r="T312" s="40" t="n">
        <f aca="false">T313+J312-J313</f>
        <v>3.89376112609985</v>
      </c>
      <c r="U312" s="42" t="n">
        <f aca="false">Summary!$C$6*ASIN(10^O312/Summary!$C$6)</f>
        <v>7830.0165061026</v>
      </c>
      <c r="V312" s="15" t="n">
        <v>7830.0165</v>
      </c>
      <c r="W312" s="43" t="n">
        <f aca="false">IF(V312="","",(V312-U312)*Summary!$C$7*1000)</f>
        <v>-0.011894184215949</v>
      </c>
      <c r="X312" s="44" t="n">
        <f aca="false">U312*Summary!$C$7</f>
        <v>15260.9886823473</v>
      </c>
    </row>
    <row r="313" customFormat="false" ht="15" hidden="false" customHeight="false" outlineLevel="0" collapsed="false">
      <c r="A313" s="45" t="n">
        <v>103</v>
      </c>
      <c r="B313" s="45" t="s">
        <v>388</v>
      </c>
      <c r="C313" s="45" t="s">
        <v>383</v>
      </c>
      <c r="D313" s="46" t="n">
        <v>56</v>
      </c>
      <c r="E313" s="46" t="n">
        <v>31</v>
      </c>
      <c r="F313" s="47" t="n">
        <v>6.49</v>
      </c>
      <c r="G313" s="47" t="n">
        <v>0.14</v>
      </c>
      <c r="H313" s="48" t="n">
        <v>9.9211992186</v>
      </c>
      <c r="I313" s="49" t="n">
        <f aca="false">H313</f>
        <v>9.9211992186</v>
      </c>
      <c r="J313" s="49" t="n">
        <f aca="false">10+LOG10(SIN(RADIANS(D313+E313/60+F313/3600)))</f>
        <v>9.92119921877906</v>
      </c>
      <c r="K313" s="50" t="n">
        <f aca="false">(I313-J313)*10000000000</f>
        <v>-1.79062098482063</v>
      </c>
      <c r="L313" s="51" t="s">
        <v>103</v>
      </c>
      <c r="M313" s="51" t="n">
        <v>102</v>
      </c>
      <c r="N313" s="52"/>
      <c r="O313" s="52" t="n">
        <f aca="false">O308</f>
        <v>3.84799208659999</v>
      </c>
      <c r="P313" s="53"/>
      <c r="Q313" s="46" t="n">
        <v>0</v>
      </c>
      <c r="R313" s="49" t="n">
        <f aca="false">I313-COS(RADIANS(D313+E313/60+F313/3600))/SIN(RADIANS(D313+E313/60+F313/3600))*RADIANS(Q313/3600)/LN(10)</f>
        <v>9.9211992186</v>
      </c>
      <c r="S313" s="52" t="n">
        <f aca="false">S308</f>
        <v>3.84798135985687</v>
      </c>
      <c r="T313" s="52" t="n">
        <f aca="false">T308</f>
        <v>3.84799095108706</v>
      </c>
      <c r="U313" s="54"/>
      <c r="V313" s="54"/>
      <c r="W313" s="56"/>
      <c r="X313" s="57"/>
      <c r="Y313" s="51"/>
    </row>
    <row r="314" customFormat="false" ht="15" hidden="false" customHeight="false" outlineLevel="0" collapsed="false">
      <c r="A314" s="58" t="n">
        <v>104</v>
      </c>
      <c r="B314" s="58" t="s">
        <v>385</v>
      </c>
      <c r="C314" s="58" t="s">
        <v>389</v>
      </c>
      <c r="D314" s="59" t="n">
        <v>57</v>
      </c>
      <c r="E314" s="59" t="n">
        <v>45</v>
      </c>
      <c r="F314" s="60" t="n">
        <v>19.01</v>
      </c>
      <c r="G314" s="60" t="n">
        <v>0.08</v>
      </c>
      <c r="H314" s="61" t="n">
        <v>9.9272558696</v>
      </c>
      <c r="I314" s="62" t="n">
        <f aca="false">H314</f>
        <v>9.9272558696</v>
      </c>
      <c r="J314" s="62" t="n">
        <f aca="false">10+LOG10(SIN(RADIANS(D314+E314/60+F314/3600)))</f>
        <v>9.92725586960148</v>
      </c>
      <c r="K314" s="63" t="n">
        <f aca="false">(I314-J314)*10000000000</f>
        <v>-0.0147970524722041</v>
      </c>
      <c r="L314" s="64" t="s">
        <v>100</v>
      </c>
      <c r="M314" s="64"/>
      <c r="N314" s="61" t="n">
        <v>3.7786030555</v>
      </c>
      <c r="O314" s="65" t="n">
        <f aca="false">O316+I314-I316</f>
        <v>3.77860305469999</v>
      </c>
      <c r="P314" s="66" t="n">
        <f aca="false">IF(N314="","",(O314-N314)*10000000000)</f>
        <v>-8.00012944779383</v>
      </c>
      <c r="Q314" s="59" t="n">
        <v>0</v>
      </c>
      <c r="R314" s="62" t="n">
        <f aca="false">I314-COS(RADIANS(D314+E314/60+F314/3600))/SIN(RADIANS(D314+E314/60+F314/3600))*RADIANS(Q314/3600)/LN(10)</f>
        <v>9.9272558696</v>
      </c>
      <c r="S314" s="65" t="n">
        <f aca="false">S316+R314-R316</f>
        <v>3.77859232795687</v>
      </c>
      <c r="T314" s="65" t="n">
        <f aca="false">T316+J314-J316</f>
        <v>3.77860191900199</v>
      </c>
      <c r="U314" s="67" t="n">
        <f aca="false">Summary!$C$6*ASIN(10^O314/Summary!$C$6)</f>
        <v>6006.24853865581</v>
      </c>
      <c r="V314" s="68" t="n">
        <v>6006.2485</v>
      </c>
      <c r="W314" s="69" t="n">
        <f aca="false">IF(V314="","",(V314-U314)*Summary!$C$7*1000)</f>
        <v>-0.0753415942329368</v>
      </c>
      <c r="X314" s="70" t="n">
        <f aca="false">U314*Summary!$C$7</f>
        <v>11706.3981794102</v>
      </c>
      <c r="Y314" s="71" t="n">
        <f aca="false">(D314+D315+D316-180)*3600+(E314+E315+E316)*60+F314+F315+F316-(G314+G315+G316)</f>
        <v>7.32747196252603E-015</v>
      </c>
    </row>
    <row r="315" customFormat="false" ht="15" hidden="false" customHeight="false" outlineLevel="0" collapsed="false">
      <c r="A315" s="58" t="n">
        <v>104</v>
      </c>
      <c r="B315" s="58" t="s">
        <v>388</v>
      </c>
      <c r="C315" s="58" t="s">
        <v>390</v>
      </c>
      <c r="D315" s="59" t="n">
        <v>43</v>
      </c>
      <c r="E315" s="59" t="n">
        <v>25</v>
      </c>
      <c r="F315" s="60" t="n">
        <v>33.74</v>
      </c>
      <c r="G315" s="60" t="n">
        <v>0.08</v>
      </c>
      <c r="H315" s="61" t="n">
        <v>9.8372206736</v>
      </c>
      <c r="I315" s="62" t="n">
        <f aca="false">H315</f>
        <v>9.8372206736</v>
      </c>
      <c r="J315" s="62" t="n">
        <f aca="false">10+LOG10(SIN(RADIANS(D315+E315/60+F315/3600)))</f>
        <v>9.8372206738254</v>
      </c>
      <c r="K315" s="63" t="n">
        <f aca="false">(I315-J315)*10000000000</f>
        <v>-2.25403695708337</v>
      </c>
      <c r="L315" s="64" t="s">
        <v>100</v>
      </c>
      <c r="M315" s="64"/>
      <c r="N315" s="61" t="n">
        <v>3.6885678595</v>
      </c>
      <c r="O315" s="65" t="n">
        <f aca="false">O316+I315-I316</f>
        <v>3.68856785869999</v>
      </c>
      <c r="P315" s="66" t="n">
        <f aca="false">IF(N315="","",(O315-N315)*10000000000)</f>
        <v>-8.00013388868592</v>
      </c>
      <c r="Q315" s="59" t="n">
        <v>0</v>
      </c>
      <c r="R315" s="62" t="n">
        <f aca="false">I315-COS(RADIANS(D315+E315/60+F315/3600))/SIN(RADIANS(D315+E315/60+F315/3600))*RADIANS(Q315/3600)/LN(10)</f>
        <v>9.8372206736</v>
      </c>
      <c r="S315" s="65" t="n">
        <f aca="false">S316+R315-R316</f>
        <v>3.68855713195686</v>
      </c>
      <c r="T315" s="65" t="n">
        <f aca="false">T316+J315-J316</f>
        <v>3.68856672322592</v>
      </c>
      <c r="U315" s="67" t="n">
        <f aca="false">Summary!$C$6*ASIN(10^O315/Summary!$C$6)</f>
        <v>4881.66553152137</v>
      </c>
      <c r="V315" s="68" t="n">
        <v>4881.6656</v>
      </c>
      <c r="W315" s="69" t="n">
        <f aca="false">IF(V315="","",(V315-U315)*Summary!$C$7*1000)</f>
        <v>0.133467357485421</v>
      </c>
      <c r="X315" s="70" t="n">
        <f aca="false">U315*Summary!$C$7</f>
        <v>9514.54474833983</v>
      </c>
      <c r="Y315" s="64"/>
    </row>
    <row r="316" customFormat="false" ht="15" hidden="false" customHeight="false" outlineLevel="0" collapsed="false">
      <c r="A316" s="72" t="n">
        <v>104</v>
      </c>
      <c r="B316" s="72" t="s">
        <v>391</v>
      </c>
      <c r="C316" s="72" t="s">
        <v>386</v>
      </c>
      <c r="D316" s="73" t="n">
        <v>78</v>
      </c>
      <c r="E316" s="73" t="n">
        <v>49</v>
      </c>
      <c r="F316" s="74" t="n">
        <v>7.53</v>
      </c>
      <c r="G316" s="74" t="n">
        <v>0.12</v>
      </c>
      <c r="H316" s="75" t="n">
        <v>9.9916772831</v>
      </c>
      <c r="I316" s="76" t="n">
        <f aca="false">H316</f>
        <v>9.9916772831</v>
      </c>
      <c r="J316" s="76" t="n">
        <f aca="false">10+LOG10(SIN(RADIANS(D316+E316/60+F316/3600)))</f>
        <v>9.99167728327524</v>
      </c>
      <c r="K316" s="77" t="n">
        <f aca="false">(I316-J316)*10000000000</f>
        <v>-1.75242931277353</v>
      </c>
      <c r="L316" s="78" t="s">
        <v>103</v>
      </c>
      <c r="M316" s="78" t="n">
        <v>103</v>
      </c>
      <c r="N316" s="79"/>
      <c r="O316" s="79" t="n">
        <f aca="false">O311</f>
        <v>3.84302446819999</v>
      </c>
      <c r="P316" s="80"/>
      <c r="Q316" s="73" t="n">
        <v>0</v>
      </c>
      <c r="R316" s="76" t="n">
        <f aca="false">I316-COS(RADIANS(D316+E316/60+F316/3600))/SIN(RADIANS(D316+E316/60+F316/3600))*RADIANS(Q316/3600)/LN(10)</f>
        <v>9.9916772831</v>
      </c>
      <c r="S316" s="79" t="n">
        <f aca="false">S311</f>
        <v>3.84301374145687</v>
      </c>
      <c r="T316" s="79" t="n">
        <f aca="false">T311</f>
        <v>3.84302333267576</v>
      </c>
      <c r="U316" s="81"/>
      <c r="V316" s="81"/>
      <c r="W316" s="82"/>
      <c r="X316" s="83"/>
      <c r="Y316" s="78"/>
    </row>
    <row r="317" customFormat="false" ht="15" hidden="false" customHeight="false" outlineLevel="0" collapsed="false">
      <c r="A317" s="5" t="n">
        <v>105</v>
      </c>
      <c r="B317" s="5" t="s">
        <v>376</v>
      </c>
      <c r="C317" s="5" t="s">
        <v>392</v>
      </c>
      <c r="D317" s="38" t="n">
        <v>39</v>
      </c>
      <c r="E317" s="38" t="n">
        <v>44</v>
      </c>
      <c r="F317" s="30" t="n">
        <v>57.56</v>
      </c>
      <c r="G317" s="30" t="n">
        <v>0.48</v>
      </c>
      <c r="H317" s="16" t="n">
        <v>9.8057929448</v>
      </c>
      <c r="I317" s="12" t="n">
        <f aca="false">H317</f>
        <v>9.8057929448</v>
      </c>
      <c r="J317" s="12" t="n">
        <f aca="false">10+LOG10(SIN(RADIANS(D317+E317/60+F317/3600)))</f>
        <v>9.80579294492066</v>
      </c>
      <c r="K317" s="25" t="n">
        <f aca="false">(I317-J317)*10000000000</f>
        <v>-1.20660814673101</v>
      </c>
      <c r="L317" s="39" t="s">
        <v>100</v>
      </c>
      <c r="N317" s="16" t="n">
        <v>4.1328704407</v>
      </c>
      <c r="O317" s="40" t="n">
        <f aca="false">O319+I317-I319</f>
        <v>4.13287043989999</v>
      </c>
      <c r="P317" s="41" t="n">
        <f aca="false">IF(N317="","",(O317-N317)*10000000000)</f>
        <v>-8.00012500690173</v>
      </c>
      <c r="Q317" s="38" t="n">
        <v>0</v>
      </c>
      <c r="R317" s="12" t="n">
        <f aca="false">I317-COS(RADIANS(D317+E317/60+F317/3600))/SIN(RADIANS(D317+E317/60+F317/3600))*RADIANS(Q317/3600)/LN(10)</f>
        <v>9.8057929448</v>
      </c>
      <c r="S317" s="40" t="n">
        <f aca="false">S319+R317-R319</f>
        <v>4.13285971315687</v>
      </c>
      <c r="T317" s="40" t="n">
        <f aca="false">T319+J317-J319</f>
        <v>4.13286930425393</v>
      </c>
      <c r="U317" s="42" t="n">
        <f aca="false">Summary!$C$6*ASIN(10^O317/Summary!$C$6)</f>
        <v>13579.1220055401</v>
      </c>
      <c r="V317" s="15" t="n">
        <v>13579.122</v>
      </c>
      <c r="W317" s="43" t="n">
        <f aca="false">IF(V317="","",(V317-U317)*Summary!$C$7*1000)</f>
        <v>-0.0107979491435234</v>
      </c>
      <c r="X317" s="44" t="n">
        <f aca="false">U317*Summary!$C$7</f>
        <v>26466.2056690748</v>
      </c>
      <c r="Y317" s="26" t="n">
        <f aca="false">(D317+D318+D319-180)*3600+(E317+E318+E319)*60+F317+F318+F319-(G317+G318+G319)</f>
        <v>0</v>
      </c>
    </row>
    <row r="318" customFormat="false" ht="15" hidden="false" customHeight="false" outlineLevel="0" collapsed="false">
      <c r="A318" s="5" t="n">
        <v>105</v>
      </c>
      <c r="B318" s="5" t="s">
        <v>382</v>
      </c>
      <c r="C318" s="5" t="s">
        <v>393</v>
      </c>
      <c r="D318" s="38" t="n">
        <v>93</v>
      </c>
      <c r="E318" s="38" t="n">
        <v>8</v>
      </c>
      <c r="F318" s="30" t="n">
        <v>41.17</v>
      </c>
      <c r="G318" s="30" t="n">
        <v>1.05</v>
      </c>
      <c r="H318" s="16" t="n">
        <v>9.9993455071</v>
      </c>
      <c r="I318" s="12" t="n">
        <f aca="false">H318</f>
        <v>9.9993455071</v>
      </c>
      <c r="J318" s="12" t="n">
        <f aca="false">10+LOG10(SIN(RADIANS(D318+E318/60+F318/3600)))</f>
        <v>9.9993455072378</v>
      </c>
      <c r="K318" s="25" t="n">
        <f aca="false">(I318-J318)*10000000000</f>
        <v>-1.37799105459635</v>
      </c>
      <c r="L318" s="39" t="s">
        <v>100</v>
      </c>
      <c r="N318" s="16" t="n">
        <v>4.326423003</v>
      </c>
      <c r="O318" s="40" t="n">
        <f aca="false">O319+I318-I319</f>
        <v>4.32642300219999</v>
      </c>
      <c r="P318" s="41" t="n">
        <f aca="false">IF(N318="","",(O318-N318)*10000000000)</f>
        <v>-8.00014277047012</v>
      </c>
      <c r="Q318" s="38" t="n">
        <v>0</v>
      </c>
      <c r="R318" s="12" t="n">
        <f aca="false">I318-COS(RADIANS(D318+E318/60+F318/3600))/SIN(RADIANS(D318+E318/60+F318/3600))*RADIANS(Q318/3600)/LN(10)</f>
        <v>9.9993455071</v>
      </c>
      <c r="S318" s="40" t="n">
        <f aca="false">S319+R318-R319</f>
        <v>4.32641227545686</v>
      </c>
      <c r="T318" s="40" t="n">
        <f aca="false">T319+J318-J319</f>
        <v>4.32642186657107</v>
      </c>
      <c r="U318" s="42" t="n">
        <f aca="false">Summary!$C$6*ASIN(10^O318/Summary!$C$6)</f>
        <v>21204.4030874137</v>
      </c>
      <c r="V318" s="15" t="n">
        <v>21204.4031</v>
      </c>
      <c r="W318" s="43" t="n">
        <f aca="false">IF(V318="","",(V318-U318)*Summary!$C$7*1000)</f>
        <v>0.0245310755817076</v>
      </c>
      <c r="X318" s="44" t="n">
        <f aca="false">U318*Summary!$C$7</f>
        <v>41328.157518026</v>
      </c>
    </row>
    <row r="319" customFormat="false" ht="15" hidden="false" customHeight="false" outlineLevel="0" collapsed="false">
      <c r="A319" s="45" t="n">
        <v>105</v>
      </c>
      <c r="B319" s="45" t="s">
        <v>394</v>
      </c>
      <c r="C319" s="45" t="s">
        <v>381</v>
      </c>
      <c r="D319" s="46" t="n">
        <v>47</v>
      </c>
      <c r="E319" s="46" t="n">
        <v>6</v>
      </c>
      <c r="F319" s="47" t="n">
        <v>23.28</v>
      </c>
      <c r="G319" s="47" t="n">
        <v>0.48</v>
      </c>
      <c r="H319" s="48" t="n">
        <v>9.8648786064</v>
      </c>
      <c r="I319" s="49" t="n">
        <f aca="false">H319</f>
        <v>9.8648786064</v>
      </c>
      <c r="J319" s="49" t="n">
        <f aca="false">10+LOG10(SIN(RADIANS(D319+E319/60+F319/3600)))</f>
        <v>9.86487860646644</v>
      </c>
      <c r="K319" s="50" t="n">
        <f aca="false">(I319-J319)*10000000000</f>
        <v>-0.664446275777664</v>
      </c>
      <c r="L319" s="51" t="s">
        <v>103</v>
      </c>
      <c r="M319" s="51" t="n">
        <v>101</v>
      </c>
      <c r="N319" s="52"/>
      <c r="O319" s="52" t="n">
        <f aca="false">O306</f>
        <v>4.19195610149999</v>
      </c>
      <c r="P319" s="53"/>
      <c r="Q319" s="46" t="n">
        <v>0</v>
      </c>
      <c r="R319" s="49" t="n">
        <f aca="false">I319-COS(RADIANS(D319+E319/60+F319/3600))/SIN(RADIANS(D319+E319/60+F319/3600))*RADIANS(Q319/3600)/LN(10)</f>
        <v>9.8648786064</v>
      </c>
      <c r="S319" s="52" t="n">
        <f aca="false">S306</f>
        <v>4.19194537475686</v>
      </c>
      <c r="T319" s="52" t="n">
        <f aca="false">T306</f>
        <v>4.19195496579971</v>
      </c>
      <c r="U319" s="54"/>
      <c r="V319" s="54"/>
      <c r="W319" s="56"/>
      <c r="X319" s="57"/>
      <c r="Y319" s="51"/>
    </row>
    <row r="320" customFormat="false" ht="15" hidden="false" customHeight="false" outlineLevel="0" collapsed="false">
      <c r="A320" s="58" t="n">
        <v>106</v>
      </c>
      <c r="B320" s="58" t="s">
        <v>382</v>
      </c>
      <c r="C320" s="58" t="s">
        <v>395</v>
      </c>
      <c r="D320" s="59" t="n">
        <v>45</v>
      </c>
      <c r="E320" s="59" t="n">
        <v>24</v>
      </c>
      <c r="F320" s="60" t="n">
        <v>17.59</v>
      </c>
      <c r="G320" s="60" t="n">
        <v>0.43</v>
      </c>
      <c r="H320" s="61" t="n">
        <v>9.8525323996</v>
      </c>
      <c r="I320" s="62" t="n">
        <f aca="false">H320</f>
        <v>9.8525323996</v>
      </c>
      <c r="J320" s="62" t="n">
        <f aca="false">10+LOG10(SIN(RADIANS(D320+E320/60+F320/3600)))</f>
        <v>9.85253239988855</v>
      </c>
      <c r="K320" s="63" t="n">
        <f aca="false">(I320-J320)*10000000000</f>
        <v>-2.88554957705856</v>
      </c>
      <c r="L320" s="64" t="s">
        <v>100</v>
      </c>
      <c r="M320" s="64"/>
      <c r="N320" s="61" t="n">
        <v>4.0911883954</v>
      </c>
      <c r="O320" s="65" t="n">
        <f aca="false">O322+I320-I322</f>
        <v>4.09118839459999</v>
      </c>
      <c r="P320" s="66" t="n">
        <f aca="false">IF(N320="","",(O320-N320)*10000000000)</f>
        <v>-8.00012500690173</v>
      </c>
      <c r="Q320" s="59" t="n">
        <v>0</v>
      </c>
      <c r="R320" s="62" t="n">
        <f aca="false">I320-COS(RADIANS(D320+E320/60+F320/3600))/SIN(RADIANS(D320+E320/60+F320/3600))*RADIANS(Q320/3600)/LN(10)</f>
        <v>9.8525323996</v>
      </c>
      <c r="S320" s="65" t="n">
        <f aca="false">S322+R320-R322</f>
        <v>4.09117766785687</v>
      </c>
      <c r="T320" s="65" t="n">
        <f aca="false">T322+J320-J322</f>
        <v>4.09118725916702</v>
      </c>
      <c r="U320" s="67" t="n">
        <f aca="false">Summary!$C$6*ASIN(10^O320/Summary!$C$6)</f>
        <v>12336.4279516512</v>
      </c>
      <c r="V320" s="68" t="n">
        <v>12336.428</v>
      </c>
      <c r="W320" s="69" t="n">
        <f aca="false">IF(V320="","",(V320-U320)*Summary!$C$7*1000)</f>
        <v>0.094233605545461</v>
      </c>
      <c r="X320" s="70" t="n">
        <f aca="false">U320*Summary!$C$7</f>
        <v>24044.1494860209</v>
      </c>
      <c r="Y320" s="71" t="n">
        <f aca="false">(D320+D321+D322-180)*3600+(E320+E321+E322)*60+F320+F321+F322-(G320+G321+G322)</f>
        <v>0</v>
      </c>
    </row>
    <row r="321" customFormat="false" ht="15" hidden="false" customHeight="false" outlineLevel="0" collapsed="false">
      <c r="A321" s="58" t="n">
        <v>106</v>
      </c>
      <c r="B321" s="58" t="s">
        <v>394</v>
      </c>
      <c r="C321" s="58" t="s">
        <v>396</v>
      </c>
      <c r="D321" s="59" t="n">
        <v>82</v>
      </c>
      <c r="E321" s="59" t="n">
        <v>59</v>
      </c>
      <c r="F321" s="60" t="n">
        <v>3.11</v>
      </c>
      <c r="G321" s="60" t="n">
        <v>0.71</v>
      </c>
      <c r="H321" s="61" t="n">
        <v>9.9967359854</v>
      </c>
      <c r="I321" s="62" t="n">
        <f aca="false">H321</f>
        <v>9.9967359854</v>
      </c>
      <c r="J321" s="62" t="n">
        <f aca="false">10+LOG10(SIN(RADIANS(D321+E321/60+F321/3600)))</f>
        <v>9.99673598556161</v>
      </c>
      <c r="K321" s="63" t="n">
        <f aca="false">(I321-J321)*10000000000</f>
        <v>-1.61604063464438</v>
      </c>
      <c r="L321" s="64" t="s">
        <v>100</v>
      </c>
      <c r="M321" s="64"/>
      <c r="N321" s="61" t="n">
        <v>4.2353919812</v>
      </c>
      <c r="O321" s="65" t="n">
        <f aca="false">O322+I321-I322</f>
        <v>4.23539198039999</v>
      </c>
      <c r="P321" s="66" t="n">
        <f aca="false">IF(N321="","",(O321-N321)*10000000000)</f>
        <v>-8.00011612511753</v>
      </c>
      <c r="Q321" s="59" t="n">
        <v>0</v>
      </c>
      <c r="R321" s="62" t="n">
        <f aca="false">I321-COS(RADIANS(D321+E321/60+F321/3600))/SIN(RADIANS(D321+E321/60+F321/3600))*RADIANS(Q321/3600)/LN(10)</f>
        <v>9.9967359854</v>
      </c>
      <c r="S321" s="65" t="n">
        <f aca="false">S322+R321-R322</f>
        <v>4.23538125365687</v>
      </c>
      <c r="T321" s="65" t="n">
        <f aca="false">T322+J321-J322</f>
        <v>4.23539084484007</v>
      </c>
      <c r="U321" s="67" t="n">
        <f aca="false">Summary!$C$6*ASIN(10^O321/Summary!$C$6)</f>
        <v>17194.6755497563</v>
      </c>
      <c r="V321" s="68" t="n">
        <v>17194.6756</v>
      </c>
      <c r="W321" s="69" t="n">
        <f aca="false">IF(V321="","",(V321-U321)*Summary!$C$7*1000)</f>
        <v>0.0979268162220005</v>
      </c>
      <c r="X321" s="70" t="n">
        <f aca="false">U321*Summary!$C$7</f>
        <v>33513.0518252354</v>
      </c>
      <c r="Y321" s="64"/>
    </row>
    <row r="322" customFormat="false" ht="15" hidden="false" customHeight="false" outlineLevel="0" collapsed="false">
      <c r="A322" s="72" t="n">
        <v>106</v>
      </c>
      <c r="B322" s="72" t="s">
        <v>397</v>
      </c>
      <c r="C322" s="72" t="s">
        <v>392</v>
      </c>
      <c r="D322" s="73" t="n">
        <v>51</v>
      </c>
      <c r="E322" s="73" t="n">
        <v>36</v>
      </c>
      <c r="F322" s="74" t="n">
        <v>40.89</v>
      </c>
      <c r="G322" s="74" t="n">
        <v>0.45</v>
      </c>
      <c r="H322" s="75" t="n">
        <v>9.8942144449</v>
      </c>
      <c r="I322" s="76" t="n">
        <f aca="false">H322</f>
        <v>9.8942144449</v>
      </c>
      <c r="J322" s="76" t="n">
        <f aca="false">10+LOG10(SIN(RADIANS(D322+E322/60+F322/3600)))</f>
        <v>9.89421444497546</v>
      </c>
      <c r="K322" s="77" t="n">
        <f aca="false">(I322-J322)*10000000000</f>
        <v>-0.754649676082408</v>
      </c>
      <c r="L322" s="78" t="s">
        <v>103</v>
      </c>
      <c r="M322" s="78" t="n">
        <v>105</v>
      </c>
      <c r="N322" s="79"/>
      <c r="O322" s="79" t="n">
        <f aca="false">O317</f>
        <v>4.13287043989999</v>
      </c>
      <c r="P322" s="80"/>
      <c r="Q322" s="73" t="n">
        <v>0</v>
      </c>
      <c r="R322" s="76" t="n">
        <f aca="false">I322-COS(RADIANS(D322+E322/60+F322/3600))/SIN(RADIANS(D322+E322/60+F322/3600))*RADIANS(Q322/3600)/LN(10)</f>
        <v>9.8942144449</v>
      </c>
      <c r="S322" s="79" t="n">
        <f aca="false">S317</f>
        <v>4.13285971315687</v>
      </c>
      <c r="T322" s="79" t="n">
        <f aca="false">T317</f>
        <v>4.13286930425393</v>
      </c>
      <c r="U322" s="81"/>
      <c r="V322" s="81"/>
      <c r="W322" s="82"/>
      <c r="X322" s="83"/>
      <c r="Y322" s="78"/>
    </row>
    <row r="323" customFormat="false" ht="15" hidden="false" customHeight="false" outlineLevel="0" collapsed="false">
      <c r="A323" s="5" t="n">
        <v>107</v>
      </c>
      <c r="B323" s="5" t="s">
        <v>394</v>
      </c>
      <c r="C323" s="5" t="s">
        <v>398</v>
      </c>
      <c r="D323" s="38" t="n">
        <v>46</v>
      </c>
      <c r="E323" s="38" t="n">
        <v>9</v>
      </c>
      <c r="F323" s="30" t="n">
        <v>21.85</v>
      </c>
      <c r="G323" s="30" t="n">
        <v>0.37</v>
      </c>
      <c r="H323" s="16" t="n">
        <v>9.8580733778</v>
      </c>
      <c r="I323" s="12" t="n">
        <f aca="false">H323</f>
        <v>9.8580733778</v>
      </c>
      <c r="J323" s="12" t="n">
        <f aca="false">10+LOG10(SIN(RADIANS(D323+E323/60+F323/3600)))</f>
        <v>9.85807337797493</v>
      </c>
      <c r="K323" s="25" t="n">
        <f aca="false">(I323-J323)*10000000000</f>
        <v>-1.74928516116779</v>
      </c>
      <c r="L323" s="39" t="s">
        <v>100</v>
      </c>
      <c r="N323" s="16" t="n">
        <v>4.0635410999</v>
      </c>
      <c r="O323" s="40" t="n">
        <f aca="false">O325+I323-I325</f>
        <v>4.06354109919999</v>
      </c>
      <c r="P323" s="41" t="n">
        <f aca="false">IF(N323="","",(O323-N323)*10000000000)</f>
        <v>-7.00012492416136</v>
      </c>
      <c r="Q323" s="38" t="n">
        <v>0</v>
      </c>
      <c r="R323" s="12" t="n">
        <f aca="false">I323-COS(RADIANS(D323+E323/60+F323/3600))/SIN(RADIANS(D323+E323/60+F323/3600))*RADIANS(Q323/3600)/LN(10)</f>
        <v>9.8580733778</v>
      </c>
      <c r="S323" s="40" t="n">
        <f aca="false">S325+R323-R325</f>
        <v>4.06353037245687</v>
      </c>
      <c r="T323" s="40" t="n">
        <f aca="false">T325+J323-J325</f>
        <v>4.06353996362929</v>
      </c>
      <c r="U323" s="42" t="n">
        <f aca="false">Summary!$C$6*ASIN(10^O323/Summary!$C$6)</f>
        <v>11575.5599330655</v>
      </c>
      <c r="V323" s="15" t="n">
        <v>11575.5599</v>
      </c>
      <c r="W323" s="43" t="n">
        <f aca="false">IF(V323="","",(V323-U323)*Summary!$C$7*1000)</f>
        <v>-0.0644457848109484</v>
      </c>
      <c r="X323" s="44" t="n">
        <f aca="false">U323*Summary!$C$7</f>
        <v>22561.1898765045</v>
      </c>
      <c r="Y323" s="26" t="n">
        <f aca="false">(D323+D324+D325-180)*3600+(E323+E324+E325)*60+F323+F324+F325-(G323+G324+G325)</f>
        <v>0</v>
      </c>
    </row>
    <row r="324" customFormat="false" ht="15" hidden="false" customHeight="false" outlineLevel="0" collapsed="false">
      <c r="A324" s="5" t="n">
        <v>107</v>
      </c>
      <c r="B324" s="5" t="s">
        <v>397</v>
      </c>
      <c r="C324" s="5" t="s">
        <v>399</v>
      </c>
      <c r="D324" s="38" t="n">
        <v>83</v>
      </c>
      <c r="E324" s="38" t="n">
        <v>36</v>
      </c>
      <c r="F324" s="30" t="n">
        <v>45.92</v>
      </c>
      <c r="G324" s="30" t="n">
        <v>0.61</v>
      </c>
      <c r="H324" s="16" t="n">
        <v>9.9972958067</v>
      </c>
      <c r="I324" s="12" t="n">
        <f aca="false">H324</f>
        <v>9.9972958067</v>
      </c>
      <c r="J324" s="12" t="n">
        <f aca="false">10+LOG10(SIN(RADIANS(D324+E324/60+F324/3600)))</f>
        <v>9.99729580684273</v>
      </c>
      <c r="K324" s="25" t="n">
        <f aca="false">(I324-J324)*10000000000</f>
        <v>-1.42724942975292</v>
      </c>
      <c r="L324" s="39" t="s">
        <v>100</v>
      </c>
      <c r="N324" s="16" t="n">
        <v>4.2027635288</v>
      </c>
      <c r="O324" s="40" t="n">
        <f aca="false">O325+I324-I325</f>
        <v>4.20276352809999</v>
      </c>
      <c r="P324" s="41" t="n">
        <f aca="false">IF(N324="","",(O324-N324)*10000000000)</f>
        <v>-7.00012492416136</v>
      </c>
      <c r="Q324" s="38" t="n">
        <v>0</v>
      </c>
      <c r="R324" s="12" t="n">
        <f aca="false">I324-COS(RADIANS(D324+E324/60+F324/3600))/SIN(RADIANS(D324+E324/60+F324/3600))*RADIANS(Q324/3600)/LN(10)</f>
        <v>9.9972958067</v>
      </c>
      <c r="S324" s="40" t="n">
        <f aca="false">S325+R324-R325</f>
        <v>4.20275280135687</v>
      </c>
      <c r="T324" s="40" t="n">
        <f aca="false">T325+J324-J325</f>
        <v>4.20276239249708</v>
      </c>
      <c r="U324" s="42" t="n">
        <f aca="false">Summary!$C$6*ASIN(10^O324/Summary!$C$6)</f>
        <v>15950.1676930488</v>
      </c>
      <c r="V324" s="15" t="n">
        <v>15950.1678</v>
      </c>
      <c r="W324" s="43" t="n">
        <f aca="false">IF(V324="","",(V324-U324)*Summary!$C$7*1000)</f>
        <v>0.208451816476488</v>
      </c>
      <c r="X324" s="44" t="n">
        <f aca="false">U324*Summary!$C$7</f>
        <v>31087.4604741185</v>
      </c>
    </row>
    <row r="325" customFormat="false" ht="15" hidden="false" customHeight="false" outlineLevel="0" collapsed="false">
      <c r="A325" s="45" t="n">
        <v>107</v>
      </c>
      <c r="B325" s="45" t="s">
        <v>400</v>
      </c>
      <c r="C325" s="45" t="s">
        <v>395</v>
      </c>
      <c r="D325" s="46" t="n">
        <v>50</v>
      </c>
      <c r="E325" s="46" t="n">
        <v>13</v>
      </c>
      <c r="F325" s="47" t="n">
        <v>53.59</v>
      </c>
      <c r="G325" s="47" t="n">
        <v>0.38</v>
      </c>
      <c r="H325" s="48" t="n">
        <v>9.8857206732</v>
      </c>
      <c r="I325" s="49" t="n">
        <f aca="false">H325</f>
        <v>9.8857206732</v>
      </c>
      <c r="J325" s="49" t="n">
        <f aca="false">10+LOG10(SIN(RADIANS(D325+E325/60+F325/3600)))</f>
        <v>9.88572067351266</v>
      </c>
      <c r="K325" s="50" t="n">
        <f aca="false">(I325-J325)*10000000000</f>
        <v>-3.12661896373356</v>
      </c>
      <c r="L325" s="51" t="s">
        <v>103</v>
      </c>
      <c r="M325" s="51" t="n">
        <v>106</v>
      </c>
      <c r="N325" s="52"/>
      <c r="O325" s="52" t="n">
        <f aca="false">O320</f>
        <v>4.09118839459999</v>
      </c>
      <c r="P325" s="53"/>
      <c r="Q325" s="46" t="n">
        <v>0</v>
      </c>
      <c r="R325" s="49" t="n">
        <f aca="false">I325-COS(RADIANS(D325+E325/60+F325/3600))/SIN(RADIANS(D325+E325/60+F325/3600))*RADIANS(Q325/3600)/LN(10)</f>
        <v>9.8857206732</v>
      </c>
      <c r="S325" s="52" t="n">
        <f aca="false">S320</f>
        <v>4.09117766785687</v>
      </c>
      <c r="T325" s="52" t="n">
        <f aca="false">T320</f>
        <v>4.09118725916702</v>
      </c>
      <c r="U325" s="54"/>
      <c r="V325" s="54"/>
      <c r="W325" s="56"/>
      <c r="X325" s="57"/>
      <c r="Y325" s="51"/>
    </row>
    <row r="326" customFormat="false" ht="15" hidden="false" customHeight="false" outlineLevel="0" collapsed="false">
      <c r="A326" s="58" t="n">
        <v>108</v>
      </c>
      <c r="B326" s="58" t="s">
        <v>394</v>
      </c>
      <c r="C326" s="58" t="s">
        <v>401</v>
      </c>
      <c r="D326" s="59" t="n">
        <v>41</v>
      </c>
      <c r="E326" s="59" t="n">
        <v>30</v>
      </c>
      <c r="F326" s="60" t="n">
        <v>27.5</v>
      </c>
      <c r="G326" s="60" t="n">
        <v>0.53</v>
      </c>
      <c r="H326" s="61" t="n">
        <v>9.8213300086</v>
      </c>
      <c r="I326" s="62" t="n">
        <f aca="false">H326</f>
        <v>9.8213300086</v>
      </c>
      <c r="J326" s="62" t="n">
        <f aca="false">10+LOG10(SIN(RADIANS(D326+E326/60+F326/3600)))</f>
        <v>9.82133000900806</v>
      </c>
      <c r="K326" s="63" t="n">
        <f aca="false">(I326-J326)*10000000000</f>
        <v>-4.08061140433347</v>
      </c>
      <c r="L326" s="64" t="s">
        <v>100</v>
      </c>
      <c r="M326" s="64"/>
      <c r="N326" s="61" t="n">
        <v>4.1902428865</v>
      </c>
      <c r="O326" s="65" t="n">
        <f aca="false">O328+I326-I328</f>
        <v>4.19024288579999</v>
      </c>
      <c r="P326" s="66" t="n">
        <f aca="false">IF(N326="","",(O326-N326)*10000000000)</f>
        <v>-7.00012492416136</v>
      </c>
      <c r="Q326" s="59" t="n">
        <v>0</v>
      </c>
      <c r="R326" s="62" t="n">
        <f aca="false">I326-COS(RADIANS(D326+E326/60+F326/3600))/SIN(RADIANS(D326+E326/60+F326/3600))*RADIANS(Q326/3600)/LN(10)</f>
        <v>9.8213300086</v>
      </c>
      <c r="S326" s="65" t="n">
        <f aca="false">S328+R326-R328</f>
        <v>4.19023215905687</v>
      </c>
      <c r="T326" s="65" t="n">
        <f aca="false">T328+J326-J328</f>
        <v>4.19024175054924</v>
      </c>
      <c r="U326" s="67" t="n">
        <f aca="false">Summary!$C$6*ASIN(10^O326/Summary!$C$6)</f>
        <v>15496.8887186396</v>
      </c>
      <c r="V326" s="68" t="n">
        <v>15496.8888</v>
      </c>
      <c r="W326" s="69" t="n">
        <f aca="false">IF(V326="","",(V326-U326)*Summary!$C$7*1000)</f>
        <v>0.158574492703284</v>
      </c>
      <c r="X326" s="70" t="n">
        <f aca="false">U326*Summary!$C$7</f>
        <v>30204.0031668428</v>
      </c>
      <c r="Y326" s="71" t="n">
        <f aca="false">(D326+D327+D328-180)*3600+(E326+E327+E328)*60+F326+F327+F328-(G326+G327+G328)</f>
        <v>0</v>
      </c>
    </row>
    <row r="327" customFormat="false" ht="15" hidden="false" customHeight="false" outlineLevel="0" collapsed="false">
      <c r="A327" s="58" t="n">
        <v>108</v>
      </c>
      <c r="B327" s="58" t="s">
        <v>400</v>
      </c>
      <c r="C327" s="58" t="s">
        <v>402</v>
      </c>
      <c r="D327" s="59" t="n">
        <v>95</v>
      </c>
      <c r="E327" s="59" t="n">
        <v>29</v>
      </c>
      <c r="F327" s="60" t="n">
        <v>5.05</v>
      </c>
      <c r="G327" s="60" t="n">
        <v>1.31</v>
      </c>
      <c r="H327" s="61" t="n">
        <v>9.9980071025</v>
      </c>
      <c r="I327" s="62" t="n">
        <f aca="false">H327</f>
        <v>9.9980071025</v>
      </c>
      <c r="J327" s="62" t="n">
        <f aca="false">10+LOG10(SIN(RADIANS(D327+E327/60+F327/3600)))</f>
        <v>9.99800710266947</v>
      </c>
      <c r="K327" s="63" t="n">
        <f aca="false">(I327-J327)*10000000000</f>
        <v>-1.69471547906142</v>
      </c>
      <c r="L327" s="64" t="s">
        <v>100</v>
      </c>
      <c r="M327" s="64"/>
      <c r="N327" s="61" t="n">
        <v>4.3669199805</v>
      </c>
      <c r="O327" s="65" t="n">
        <f aca="false">O328+I327-I328</f>
        <v>4.36691997969999</v>
      </c>
      <c r="P327" s="66" t="n">
        <f aca="false">IF(N327="","",(O327-N327)*10000000000)</f>
        <v>-8.00011612511753</v>
      </c>
      <c r="Q327" s="59" t="n">
        <v>0</v>
      </c>
      <c r="R327" s="62" t="n">
        <f aca="false">I327-COS(RADIANS(D327+E327/60+F327/3600))/SIN(RADIANS(D327+E327/60+F327/3600))*RADIANS(Q327/3600)/LN(10)</f>
        <v>9.9980071025</v>
      </c>
      <c r="S327" s="65" t="n">
        <f aca="false">S328+R327-R328</f>
        <v>4.36690925295687</v>
      </c>
      <c r="T327" s="65" t="n">
        <f aca="false">T328+J327-J328</f>
        <v>4.36691884421065</v>
      </c>
      <c r="U327" s="67" t="n">
        <f aca="false">Summary!$C$6*ASIN(10^O327/Summary!$C$6)</f>
        <v>23276.8203142151</v>
      </c>
      <c r="V327" s="68" t="n">
        <v>23276.8204</v>
      </c>
      <c r="W327" s="69" t="n">
        <f aca="false">IF(V327="","",(V327-U327)*Summary!$C$7*1000)</f>
        <v>0.167197932074767</v>
      </c>
      <c r="X327" s="70" t="n">
        <f aca="false">U327*Summary!$C$7</f>
        <v>45367.3745258915</v>
      </c>
      <c r="Y327" s="64"/>
    </row>
    <row r="328" customFormat="false" ht="15" hidden="false" customHeight="false" outlineLevel="0" collapsed="false">
      <c r="A328" s="72" t="n">
        <v>108</v>
      </c>
      <c r="B328" s="72" t="s">
        <v>403</v>
      </c>
      <c r="C328" s="72" t="s">
        <v>399</v>
      </c>
      <c r="D328" s="73" t="n">
        <v>43</v>
      </c>
      <c r="E328" s="73" t="n">
        <v>0</v>
      </c>
      <c r="F328" s="74" t="n">
        <v>29.82</v>
      </c>
      <c r="G328" s="74" t="n">
        <v>0.53</v>
      </c>
      <c r="H328" s="75" t="n">
        <v>9.8338506509</v>
      </c>
      <c r="I328" s="76" t="n">
        <f aca="false">H328</f>
        <v>9.8338506509</v>
      </c>
      <c r="J328" s="76" t="n">
        <f aca="false">10+LOG10(SIN(RADIANS(D328+E328/60+F328/3600)))</f>
        <v>9.83385065095591</v>
      </c>
      <c r="K328" s="77" t="n">
        <f aca="false">(I328-J328)*10000000000</f>
        <v>-0.559090551632835</v>
      </c>
      <c r="L328" s="78" t="s">
        <v>103</v>
      </c>
      <c r="M328" s="78" t="n">
        <v>107</v>
      </c>
      <c r="N328" s="79"/>
      <c r="O328" s="79" t="n">
        <f aca="false">O324</f>
        <v>4.20276352809999</v>
      </c>
      <c r="P328" s="80"/>
      <c r="Q328" s="73" t="n">
        <v>0</v>
      </c>
      <c r="R328" s="76" t="n">
        <f aca="false">I328-COS(RADIANS(D328+E328/60+F328/3600))/SIN(RADIANS(D328+E328/60+F328/3600))*RADIANS(Q328/3600)/LN(10)</f>
        <v>9.8338506509</v>
      </c>
      <c r="S328" s="79" t="n">
        <f aca="false">S324</f>
        <v>4.20275280135687</v>
      </c>
      <c r="T328" s="79" t="n">
        <f aca="false">T324</f>
        <v>4.20276239249708</v>
      </c>
      <c r="U328" s="81"/>
      <c r="V328" s="81"/>
      <c r="W328" s="82"/>
      <c r="X328" s="83"/>
      <c r="Y328" s="78"/>
    </row>
    <row r="329" customFormat="false" ht="15" hidden="false" customHeight="false" outlineLevel="0" collapsed="false">
      <c r="A329" s="5" t="n">
        <v>109</v>
      </c>
      <c r="B329" s="5" t="s">
        <v>400</v>
      </c>
      <c r="C329" s="5" t="s">
        <v>404</v>
      </c>
      <c r="D329" s="38" t="n">
        <v>56</v>
      </c>
      <c r="E329" s="38" t="n">
        <v>4</v>
      </c>
      <c r="F329" s="30" t="n">
        <v>9.79</v>
      </c>
      <c r="G329" s="30" t="n">
        <v>0.39</v>
      </c>
      <c r="H329" s="16" t="n">
        <v>9.9189284998</v>
      </c>
      <c r="I329" s="12" t="n">
        <f aca="false">H329</f>
        <v>9.9189284998</v>
      </c>
      <c r="J329" s="12" t="n">
        <f aca="false">10+LOG10(SIN(RADIANS(D329+E329/60+F329/3600)))</f>
        <v>9.91892849982307</v>
      </c>
      <c r="K329" s="25" t="n">
        <f aca="false">(I329-J329)*10000000000</f>
        <v>-0.230730989869699</v>
      </c>
      <c r="L329" s="39" t="s">
        <v>100</v>
      </c>
      <c r="N329" s="16" t="n">
        <v>4.1143876842</v>
      </c>
      <c r="O329" s="40" t="n">
        <f aca="false">O331+I329-I331</f>
        <v>4.11438768339999</v>
      </c>
      <c r="P329" s="41" t="n">
        <f aca="false">IF(N329="","",(O329-N329)*10000000000)</f>
        <v>-8.00011612511753</v>
      </c>
      <c r="Q329" s="38" t="n">
        <v>0</v>
      </c>
      <c r="R329" s="12" t="n">
        <f aca="false">I329-COS(RADIANS(D329+E329/60+F329/3600))/SIN(RADIANS(D329+E329/60+F329/3600))*RADIANS(Q329/3600)/LN(10)</f>
        <v>9.9189284998</v>
      </c>
      <c r="S329" s="40" t="n">
        <f aca="false">S331+R329-R331</f>
        <v>4.11437695665687</v>
      </c>
      <c r="T329" s="40" t="n">
        <f aca="false">T331+J329-J331</f>
        <v>4.11438654803724</v>
      </c>
      <c r="U329" s="42" t="n">
        <f aca="false">Summary!$C$6*ASIN(10^O329/Summary!$C$6)</f>
        <v>13013.3416506128</v>
      </c>
      <c r="V329" s="15" t="n">
        <v>13013.3417</v>
      </c>
      <c r="W329" s="43" t="n">
        <f aca="false">IF(V329="","",(V329-U329)*Summary!$C$7*1000)</f>
        <v>0.0962573914150754</v>
      </c>
      <c r="X329" s="44" t="n">
        <f aca="false">U329*Summary!$C$7</f>
        <v>25363.4790545765</v>
      </c>
      <c r="Y329" s="26" t="n">
        <f aca="false">(D329+D330+D331-180)*3600+(E329+E330+E331)*60+F329+F330+F331-(G329+G330+G331)</f>
        <v>0</v>
      </c>
    </row>
    <row r="330" customFormat="false" ht="15" hidden="false" customHeight="false" outlineLevel="0" collapsed="false">
      <c r="A330" s="5" t="n">
        <v>109</v>
      </c>
      <c r="B330" s="5" t="s">
        <v>403</v>
      </c>
      <c r="C330" s="5" t="s">
        <v>405</v>
      </c>
      <c r="D330" s="38" t="n">
        <v>42</v>
      </c>
      <c r="E330" s="38" t="n">
        <v>47</v>
      </c>
      <c r="F330" s="30" t="n">
        <v>36.58</v>
      </c>
      <c r="G330" s="30" t="n">
        <v>0.36</v>
      </c>
      <c r="H330" s="16" t="n">
        <v>9.8320986872</v>
      </c>
      <c r="I330" s="12" t="n">
        <f aca="false">H330</f>
        <v>9.8320986872</v>
      </c>
      <c r="J330" s="12" t="n">
        <f aca="false">10+LOG10(SIN(RADIANS(D330+E330/60+F330/3600)))</f>
        <v>9.83209868737534</v>
      </c>
      <c r="K330" s="25" t="n">
        <f aca="false">(I330-J330)*10000000000</f>
        <v>-1.75342407260359</v>
      </c>
      <c r="L330" s="39" t="s">
        <v>100</v>
      </c>
      <c r="N330" s="16" t="n">
        <v>4.0275578715</v>
      </c>
      <c r="O330" s="40" t="n">
        <f aca="false">O331+I330-I331</f>
        <v>4.02755787079999</v>
      </c>
      <c r="P330" s="41" t="n">
        <f aca="false">IF(N330="","",(O330-N330)*10000000000)</f>
        <v>-7.00011604237716</v>
      </c>
      <c r="Q330" s="38" t="n">
        <v>0</v>
      </c>
      <c r="R330" s="12" t="n">
        <f aca="false">I330-COS(RADIANS(D330+E330/60+F330/3600))/SIN(RADIANS(D330+E330/60+F330/3600))*RADIANS(Q330/3600)/LN(10)</f>
        <v>9.8320986872</v>
      </c>
      <c r="S330" s="40" t="n">
        <f aca="false">S331+R330-R331</f>
        <v>4.02754714405687</v>
      </c>
      <c r="T330" s="40" t="n">
        <f aca="false">T331+J330-J331</f>
        <v>4.02755673558951</v>
      </c>
      <c r="U330" s="42" t="n">
        <f aca="false">Summary!$C$6*ASIN(10^O330/Summary!$C$6)</f>
        <v>10655.1272509714</v>
      </c>
      <c r="V330" s="15" t="n">
        <v>10655.1546</v>
      </c>
      <c r="W330" s="43" t="n">
        <f aca="false">IF(V330="","",(V330-U330)*Summary!$C$7*1000)</f>
        <v>53.3042575360863</v>
      </c>
      <c r="X330" s="44" t="n">
        <f aca="false">U330*Summary!$C$7</f>
        <v>20767.2328991019</v>
      </c>
    </row>
    <row r="331" customFormat="false" ht="15" hidden="false" customHeight="false" outlineLevel="0" collapsed="false">
      <c r="A331" s="45" t="n">
        <v>109</v>
      </c>
      <c r="B331" s="45" t="s">
        <v>406</v>
      </c>
      <c r="C331" s="45" t="s">
        <v>401</v>
      </c>
      <c r="D331" s="46" t="n">
        <v>81</v>
      </c>
      <c r="E331" s="46" t="n">
        <v>8</v>
      </c>
      <c r="F331" s="47" t="n">
        <v>14.95</v>
      </c>
      <c r="G331" s="47" t="n">
        <v>0.57</v>
      </c>
      <c r="H331" s="48" t="n">
        <v>9.9947837022</v>
      </c>
      <c r="I331" s="49" t="n">
        <f aca="false">H331</f>
        <v>9.9947837022</v>
      </c>
      <c r="J331" s="49" t="n">
        <f aca="false">10+LOG10(SIN(RADIANS(D331+E331/60+F331/3600)))</f>
        <v>9.99478370233507</v>
      </c>
      <c r="K331" s="50" t="n">
        <f aca="false">(I331-J331)*10000000000</f>
        <v>-1.35065292283798</v>
      </c>
      <c r="L331" s="51" t="s">
        <v>103</v>
      </c>
      <c r="M331" s="51" t="n">
        <v>108</v>
      </c>
      <c r="N331" s="52"/>
      <c r="O331" s="52" t="n">
        <f aca="false">O326</f>
        <v>4.19024288579999</v>
      </c>
      <c r="P331" s="53"/>
      <c r="Q331" s="46" t="n">
        <v>0</v>
      </c>
      <c r="R331" s="49" t="n">
        <f aca="false">I331-COS(RADIANS(D331+E331/60+F331/3600))/SIN(RADIANS(D331+E331/60+F331/3600))*RADIANS(Q331/3600)/LN(10)</f>
        <v>9.9947837022</v>
      </c>
      <c r="S331" s="52" t="n">
        <f aca="false">S326</f>
        <v>4.19023215905687</v>
      </c>
      <c r="T331" s="52" t="n">
        <f aca="false">T326</f>
        <v>4.19024175054924</v>
      </c>
      <c r="U331" s="54"/>
      <c r="V331" s="54"/>
      <c r="W331" s="56"/>
      <c r="X331" s="57"/>
      <c r="Y331" s="51"/>
    </row>
    <row r="332" customFormat="false" ht="15" hidden="false" customHeight="false" outlineLevel="0" collapsed="false">
      <c r="A332" s="58" t="n">
        <v>110</v>
      </c>
      <c r="B332" s="58" t="s">
        <v>403</v>
      </c>
      <c r="C332" s="58" t="s">
        <v>407</v>
      </c>
      <c r="D332" s="59" t="n">
        <v>77</v>
      </c>
      <c r="E332" s="59" t="n">
        <v>26</v>
      </c>
      <c r="F332" s="60" t="n">
        <v>11.28</v>
      </c>
      <c r="G332" s="60" t="n">
        <v>0.89</v>
      </c>
      <c r="H332" s="61" t="n">
        <v>9.9894744705</v>
      </c>
      <c r="I332" s="62" t="n">
        <f aca="false">H332</f>
        <v>9.9894744705</v>
      </c>
      <c r="J332" s="62" t="n">
        <f aca="false">10+LOG10(SIN(RADIANS(D332+E332/60+F332/3600)))</f>
        <v>9.98947447050027</v>
      </c>
      <c r="K332" s="63" t="n">
        <f aca="false">(I332-J332)*10000000000</f>
        <v>-0.00266453525910038</v>
      </c>
      <c r="L332" s="64" t="s">
        <v>100</v>
      </c>
      <c r="M332" s="64"/>
      <c r="N332" s="61" t="n">
        <v>4.2968557693</v>
      </c>
      <c r="O332" s="65" t="n">
        <f aca="false">O334+I332-I334</f>
        <v>4.29685576859999</v>
      </c>
      <c r="P332" s="66" t="n">
        <f aca="false">IF(N332="","",(O332-N332)*10000000000)</f>
        <v>-7.00011604237716</v>
      </c>
      <c r="Q332" s="59" t="n">
        <v>0</v>
      </c>
      <c r="R332" s="62" t="n">
        <f aca="false">I332-COS(RADIANS(D332+E332/60+F332/3600))/SIN(RADIANS(D332+E332/60+F332/3600))*RADIANS(Q332/3600)/LN(10)</f>
        <v>9.9894744705</v>
      </c>
      <c r="S332" s="65" t="n">
        <f aca="false">S334+R332-R334</f>
        <v>4.29684504185687</v>
      </c>
      <c r="T332" s="65" t="n">
        <f aca="false">T334+J332-J334</f>
        <v>4.2968546329053</v>
      </c>
      <c r="U332" s="67" t="n">
        <f aca="false">Summary!$C$6*ASIN(10^O332/Summary!$C$6)</f>
        <v>19808.8119723414</v>
      </c>
      <c r="V332" s="68" t="n">
        <v>19808.8121</v>
      </c>
      <c r="W332" s="69" t="n">
        <f aca="false">IF(V332="","",(V332-U332)*Summary!$C$7*1000)</f>
        <v>0.248811376416194</v>
      </c>
      <c r="X332" s="70" t="n">
        <f aca="false">U332*Summary!$C$7</f>
        <v>38608.0993679947</v>
      </c>
      <c r="Y332" s="71" t="n">
        <f aca="false">(D332+D333+D334-180)*3600+(E332+E333+E334)*60+F332+F333+F334-(G332+G333+G334)</f>
        <v>0</v>
      </c>
    </row>
    <row r="333" customFormat="false" ht="15" hidden="false" customHeight="false" outlineLevel="0" collapsed="false">
      <c r="A333" s="58" t="n">
        <v>110</v>
      </c>
      <c r="B333" s="58" t="s">
        <v>406</v>
      </c>
      <c r="C333" s="58" t="s">
        <v>408</v>
      </c>
      <c r="D333" s="59" t="n">
        <v>62</v>
      </c>
      <c r="E333" s="59" t="n">
        <v>40</v>
      </c>
      <c r="F333" s="60" t="n">
        <v>52.92</v>
      </c>
      <c r="G333" s="60" t="n">
        <v>0.7</v>
      </c>
      <c r="H333" s="61" t="n">
        <v>9.9486418035</v>
      </c>
      <c r="I333" s="62" t="n">
        <f aca="false">H333</f>
        <v>9.9486418035</v>
      </c>
      <c r="J333" s="62" t="n">
        <f aca="false">10+LOG10(SIN(RADIANS(D333+E333/60+F333/3600)))</f>
        <v>9.94864180354489</v>
      </c>
      <c r="K333" s="63" t="n">
        <f aca="false">(I333-J333)*10000000000</f>
        <v>-0.448938664021625</v>
      </c>
      <c r="L333" s="64" t="s">
        <v>100</v>
      </c>
      <c r="M333" s="64"/>
      <c r="N333" s="61" t="n">
        <v>4.2560231023</v>
      </c>
      <c r="O333" s="65" t="n">
        <f aca="false">O334+I333-I334</f>
        <v>4.25602310159999</v>
      </c>
      <c r="P333" s="66" t="n">
        <f aca="false">IF(N333="","",(O333-N333)*10000000000)</f>
        <v>-7.00012492416136</v>
      </c>
      <c r="Q333" s="59" t="n">
        <v>0</v>
      </c>
      <c r="R333" s="62" t="n">
        <f aca="false">I333-COS(RADIANS(D333+E333/60+F333/3600))/SIN(RADIANS(D333+E333/60+F333/3600))*RADIANS(Q333/3600)/LN(10)</f>
        <v>9.9486418035</v>
      </c>
      <c r="S333" s="65" t="n">
        <f aca="false">S334+R333-R334</f>
        <v>4.25601237485687</v>
      </c>
      <c r="T333" s="65" t="n">
        <f aca="false">T334+J333-J334</f>
        <v>4.25602196594992</v>
      </c>
      <c r="U333" s="67" t="n">
        <f aca="false">Summary!$C$6*ASIN(10^O333/Summary!$C$6)</f>
        <v>18031.2280633656</v>
      </c>
      <c r="V333" s="68" t="n">
        <v>18031.2281</v>
      </c>
      <c r="W333" s="69" t="n">
        <f aca="false">IF(V333="","",(V333-U333)*Summary!$C$7*1000)</f>
        <v>0.0714018485455587</v>
      </c>
      <c r="X333" s="70" t="n">
        <f aca="false">U333*Summary!$C$7</f>
        <v>35143.523284961</v>
      </c>
      <c r="Y333" s="64"/>
    </row>
    <row r="334" customFormat="false" ht="15" hidden="false" customHeight="false" outlineLevel="0" collapsed="false">
      <c r="A334" s="72" t="n">
        <v>110</v>
      </c>
      <c r="B334" s="72" t="s">
        <v>409</v>
      </c>
      <c r="C334" s="72" t="s">
        <v>404</v>
      </c>
      <c r="D334" s="73" t="n">
        <v>39</v>
      </c>
      <c r="E334" s="73" t="n">
        <v>52</v>
      </c>
      <c r="F334" s="74" t="n">
        <v>58</v>
      </c>
      <c r="G334" s="74" t="n">
        <v>0.61</v>
      </c>
      <c r="H334" s="75" t="n">
        <v>9.8070063853</v>
      </c>
      <c r="I334" s="76" t="n">
        <f aca="false">H334</f>
        <v>9.8070063853</v>
      </c>
      <c r="J334" s="76" t="n">
        <f aca="false">10+LOG10(SIN(RADIANS(D334+E334/60+F334/3600)))</f>
        <v>9.80700638563221</v>
      </c>
      <c r="K334" s="77" t="n">
        <f aca="false">(I334-J334)*10000000000</f>
        <v>-3.32214256104635</v>
      </c>
      <c r="L334" s="78" t="s">
        <v>103</v>
      </c>
      <c r="M334" s="78" t="n">
        <v>109</v>
      </c>
      <c r="N334" s="79"/>
      <c r="O334" s="79" t="n">
        <f aca="false">O329</f>
        <v>4.11438768339999</v>
      </c>
      <c r="P334" s="80"/>
      <c r="Q334" s="73" t="n">
        <v>0</v>
      </c>
      <c r="R334" s="76" t="n">
        <f aca="false">I334-COS(RADIANS(D334+E334/60+F334/3600))/SIN(RADIANS(D334+E334/60+F334/3600))*RADIANS(Q334/3600)/LN(10)</f>
        <v>9.8070063853</v>
      </c>
      <c r="S334" s="79" t="n">
        <f aca="false">S329</f>
        <v>4.11437695665687</v>
      </c>
      <c r="T334" s="79" t="n">
        <f aca="false">T329</f>
        <v>4.11438654803724</v>
      </c>
      <c r="U334" s="81"/>
      <c r="V334" s="81"/>
      <c r="W334" s="82"/>
      <c r="X334" s="83"/>
      <c r="Y334" s="78"/>
    </row>
    <row r="335" customFormat="false" ht="15" hidden="false" customHeight="false" outlineLevel="0" collapsed="false">
      <c r="A335" s="5" t="n">
        <v>111</v>
      </c>
      <c r="B335" s="5" t="s">
        <v>403</v>
      </c>
      <c r="C335" s="5" t="s">
        <v>410</v>
      </c>
      <c r="D335" s="38" t="n">
        <v>34</v>
      </c>
      <c r="E335" s="38" t="n">
        <v>53</v>
      </c>
      <c r="F335" s="30" t="n">
        <v>7.57</v>
      </c>
      <c r="G335" s="30" t="n">
        <v>0.52</v>
      </c>
      <c r="H335" s="16" t="n">
        <v>9.757348483</v>
      </c>
      <c r="I335" s="12" t="n">
        <f aca="false">H335</f>
        <v>9.757348483</v>
      </c>
      <c r="J335" s="12" t="n">
        <f aca="false">10+LOG10(SIN(RADIANS(D335+E335/60+F335/3600)))</f>
        <v>9.75734848336052</v>
      </c>
      <c r="K335" s="25" t="n">
        <f aca="false">(I335-J335)*10000000000</f>
        <v>-3.60522278697317</v>
      </c>
      <c r="L335" s="39" t="s">
        <v>100</v>
      </c>
      <c r="N335" s="16" t="n">
        <v>4.0513034231</v>
      </c>
      <c r="O335" s="40" t="n">
        <f aca="false">O337+I335-I337</f>
        <v>4.05130342229999</v>
      </c>
      <c r="P335" s="41" t="n">
        <f aca="false">IF(N335="","",(O335-N335)*10000000000)</f>
        <v>-8.00012500690173</v>
      </c>
      <c r="Q335" s="38" t="n">
        <v>0</v>
      </c>
      <c r="R335" s="12" t="n">
        <f aca="false">I335-COS(RADIANS(D335+E335/60+F335/3600))/SIN(RADIANS(D335+E335/60+F335/3600))*RADIANS(Q335/3600)/LN(10)</f>
        <v>9.757348483</v>
      </c>
      <c r="S335" s="40" t="n">
        <f aca="false">S337+R335-R337</f>
        <v>4.05129269555687</v>
      </c>
      <c r="T335" s="40" t="n">
        <f aca="false">T337+J335-J337</f>
        <v>4.05130228702427</v>
      </c>
      <c r="U335" s="42" t="n">
        <f aca="false">Summary!$C$6*ASIN(10^O335/Summary!$C$6)</f>
        <v>11253.9318581204</v>
      </c>
      <c r="V335" s="15" t="n">
        <v>11253.931</v>
      </c>
      <c r="W335" s="43" t="n">
        <f aca="false">IF(V335="","",(V335-U335)*Summary!$C$7*1000)</f>
        <v>-1.67250797471366</v>
      </c>
      <c r="X335" s="44" t="n">
        <f aca="false">U335*Summary!$C$7</f>
        <v>21934.3249895867</v>
      </c>
      <c r="Y335" s="26" t="n">
        <f aca="false">(D335+D336+D337-180)*3600+(E335+E336+E337)*60+F335+F336+F337-(G335+G336+G337)</f>
        <v>0</v>
      </c>
    </row>
    <row r="336" customFormat="false" ht="15" hidden="false" customHeight="false" outlineLevel="0" collapsed="false">
      <c r="A336" s="5" t="n">
        <v>111</v>
      </c>
      <c r="B336" s="5" t="s">
        <v>409</v>
      </c>
      <c r="C336" s="5" t="s">
        <v>411</v>
      </c>
      <c r="D336" s="38" t="n">
        <v>78</v>
      </c>
      <c r="E336" s="38" t="n">
        <v>42</v>
      </c>
      <c r="F336" s="30" t="n">
        <v>53.54</v>
      </c>
      <c r="G336" s="30" t="n">
        <v>0.78</v>
      </c>
      <c r="H336" s="16" t="n">
        <v>9.9915208911</v>
      </c>
      <c r="I336" s="12" t="n">
        <f aca="false">H336</f>
        <v>9.9915208911</v>
      </c>
      <c r="J336" s="12" t="n">
        <f aca="false">10+LOG10(SIN(RADIANS(D336+E336/60+F336/3600)))</f>
        <v>9.99152089129456</v>
      </c>
      <c r="K336" s="25" t="n">
        <f aca="false">(I336-J336)*10000000000</f>
        <v>-1.94557259192152</v>
      </c>
      <c r="L336" s="39" t="s">
        <v>100</v>
      </c>
      <c r="N336" s="16" t="n">
        <v>4.2854758312</v>
      </c>
      <c r="O336" s="40" t="n">
        <f aca="false">O337+I336-I337</f>
        <v>4.28547583039999</v>
      </c>
      <c r="P336" s="41" t="n">
        <f aca="false">IF(N336="","",(O336-N336)*10000000000)</f>
        <v>-8.00011612511753</v>
      </c>
      <c r="Q336" s="38" t="n">
        <v>0</v>
      </c>
      <c r="R336" s="12" t="n">
        <f aca="false">I336-COS(RADIANS(D336+E336/60+F336/3600))/SIN(RADIANS(D336+E336/60+F336/3600))*RADIANS(Q336/3600)/LN(10)</f>
        <v>9.9915208911</v>
      </c>
      <c r="S336" s="40" t="n">
        <f aca="false">S337+R336-R337</f>
        <v>4.28546510365687</v>
      </c>
      <c r="T336" s="40" t="n">
        <f aca="false">T337+J336-J337</f>
        <v>4.28547469495831</v>
      </c>
      <c r="U336" s="42" t="n">
        <f aca="false">Summary!$C$6*ASIN(10^O336/Summary!$C$6)</f>
        <v>19296.4916366342</v>
      </c>
      <c r="V336" s="15" t="n">
        <v>19296.4917</v>
      </c>
      <c r="W336" s="43" t="n">
        <f aca="false">IF(V336="","",(V336-U336)*Summary!$C$7*1000)</f>
        <v>0.123502280746645</v>
      </c>
      <c r="X336" s="44" t="n">
        <f aca="false">U336*Summary!$C$7</f>
        <v>37609.5682871381</v>
      </c>
    </row>
    <row r="337" customFormat="false" ht="15" hidden="false" customHeight="false" outlineLevel="0" collapsed="false">
      <c r="A337" s="45" t="n">
        <v>111</v>
      </c>
      <c r="B337" s="45" t="s">
        <v>412</v>
      </c>
      <c r="C337" s="45" t="s">
        <v>408</v>
      </c>
      <c r="D337" s="46" t="n">
        <v>66</v>
      </c>
      <c r="E337" s="46" t="n">
        <v>24</v>
      </c>
      <c r="F337" s="47" t="n">
        <v>0.81</v>
      </c>
      <c r="G337" s="47" t="n">
        <v>0.62</v>
      </c>
      <c r="H337" s="48" t="n">
        <v>9.9620681623</v>
      </c>
      <c r="I337" s="49" t="n">
        <f aca="false">H337</f>
        <v>9.9620681623</v>
      </c>
      <c r="J337" s="49" t="n">
        <f aca="false">10+LOG10(SIN(RADIANS(D337+E337/60+F337/3600)))</f>
        <v>9.96206816228617</v>
      </c>
      <c r="K337" s="50" t="n">
        <f aca="false">(I337-J337)*10000000000</f>
        <v>0.13828937994731</v>
      </c>
      <c r="L337" s="51" t="s">
        <v>103</v>
      </c>
      <c r="M337" s="51" t="n">
        <v>110</v>
      </c>
      <c r="N337" s="52"/>
      <c r="O337" s="52" t="n">
        <f aca="false">O333</f>
        <v>4.25602310159999</v>
      </c>
      <c r="P337" s="53"/>
      <c r="Q337" s="46" t="n">
        <v>0</v>
      </c>
      <c r="R337" s="49" t="n">
        <f aca="false">I337-COS(RADIANS(D337+E337/60+F337/3600))/SIN(RADIANS(D337+E337/60+F337/3600))*RADIANS(Q337/3600)/LN(10)</f>
        <v>9.9620681623</v>
      </c>
      <c r="S337" s="52" t="n">
        <f aca="false">S333</f>
        <v>4.25601237485687</v>
      </c>
      <c r="T337" s="52" t="n">
        <f aca="false">T333</f>
        <v>4.25602196594992</v>
      </c>
      <c r="U337" s="54"/>
      <c r="V337" s="54"/>
      <c r="W337" s="56"/>
      <c r="X337" s="57"/>
      <c r="Y337" s="51"/>
    </row>
    <row r="338" customFormat="false" ht="15" hidden="false" customHeight="false" outlineLevel="0" collapsed="false">
      <c r="A338" s="58" t="n">
        <v>112</v>
      </c>
      <c r="B338" s="58" t="s">
        <v>409</v>
      </c>
      <c r="C338" s="58" t="s">
        <v>413</v>
      </c>
      <c r="D338" s="59" t="n">
        <v>85</v>
      </c>
      <c r="E338" s="59" t="n">
        <v>56</v>
      </c>
      <c r="F338" s="60" t="n">
        <v>48.24</v>
      </c>
      <c r="G338" s="60" t="n">
        <v>0.89</v>
      </c>
      <c r="H338" s="61" t="n">
        <v>9.9989123679</v>
      </c>
      <c r="I338" s="62" t="n">
        <f aca="false">H338</f>
        <v>9.9989123679</v>
      </c>
      <c r="J338" s="62" t="n">
        <f aca="false">10+LOG10(SIN(RADIANS(D338+E338/60+F338/3600)))</f>
        <v>9.99891236799357</v>
      </c>
      <c r="K338" s="63" t="n">
        <f aca="false">(I338-J338)*10000000000</f>
        <v>-0.935695965154082</v>
      </c>
      <c r="L338" s="64" t="s">
        <v>100</v>
      </c>
      <c r="M338" s="64"/>
      <c r="N338" s="61" t="n">
        <v>4.3084968806</v>
      </c>
      <c r="O338" s="65" t="n">
        <f aca="false">O340+I338-I340</f>
        <v>4.30849687979999</v>
      </c>
      <c r="P338" s="66" t="n">
        <f aca="false">IF(N338="","",(O338-N338)*10000000000)</f>
        <v>-8.00012500690173</v>
      </c>
      <c r="Q338" s="59" t="n">
        <v>0</v>
      </c>
      <c r="R338" s="62" t="n">
        <f aca="false">I338-COS(RADIANS(D338+E338/60+F338/3600))/SIN(RADIANS(D338+E338/60+F338/3600))*RADIANS(Q338/3600)/LN(10)</f>
        <v>9.9989123679</v>
      </c>
      <c r="S338" s="65" t="n">
        <f aca="false">S340+R338-R340</f>
        <v>4.30848615305687</v>
      </c>
      <c r="T338" s="65" t="n">
        <f aca="false">T340+J338-J340</f>
        <v>4.30849574441596</v>
      </c>
      <c r="U338" s="67" t="n">
        <f aca="false">Summary!$C$6*ASIN(10^O338/Summary!$C$6)</f>
        <v>20346.9673124105</v>
      </c>
      <c r="V338" s="68" t="n">
        <v>20346.5675</v>
      </c>
      <c r="W338" s="69" t="n">
        <f aca="false">IF(V338="","",(V338-U338)*Summary!$C$7*1000)</f>
        <v>-779.2490178417</v>
      </c>
      <c r="X338" s="70" t="n">
        <f aca="false">U338*Summary!$C$7</f>
        <v>39656.9838176941</v>
      </c>
      <c r="Y338" s="71" t="n">
        <f aca="false">(D338+D339+D340-180)*3600+(E338+E339+E340)*60+F338+F339+F340-(G338+G339+G340)</f>
        <v>0</v>
      </c>
    </row>
    <row r="339" customFormat="false" ht="15" hidden="false" customHeight="false" outlineLevel="0" collapsed="false">
      <c r="A339" s="58" t="n">
        <v>112</v>
      </c>
      <c r="B339" s="58" t="s">
        <v>412</v>
      </c>
      <c r="C339" s="58" t="s">
        <v>414</v>
      </c>
      <c r="D339" s="59" t="n">
        <v>60</v>
      </c>
      <c r="E339" s="59" t="n">
        <v>34</v>
      </c>
      <c r="F339" s="60" t="n">
        <v>7.29</v>
      </c>
      <c r="G339" s="60" t="n">
        <v>0.53</v>
      </c>
      <c r="H339" s="61" t="n">
        <v>9.939990947</v>
      </c>
      <c r="I339" s="62" t="n">
        <f aca="false">H339</f>
        <v>9.939990947</v>
      </c>
      <c r="J339" s="62" t="n">
        <f aca="false">10+LOG10(SIN(RADIANS(D339+E339/60+F339/3600)))</f>
        <v>9.93999094708184</v>
      </c>
      <c r="K339" s="63" t="n">
        <f aca="false">(I339-J339)*10000000000</f>
        <v>-0.818367595911695</v>
      </c>
      <c r="L339" s="64" t="s">
        <v>100</v>
      </c>
      <c r="M339" s="64"/>
      <c r="N339" s="61" t="n">
        <v>4.2495754597</v>
      </c>
      <c r="O339" s="65" t="n">
        <f aca="false">O340+I339-I340</f>
        <v>4.24957545889999</v>
      </c>
      <c r="P339" s="66" t="n">
        <f aca="false">IF(N339="","",(O339-N339)*10000000000)</f>
        <v>-8.00011612511753</v>
      </c>
      <c r="Q339" s="59" t="n">
        <v>0</v>
      </c>
      <c r="R339" s="62" t="n">
        <f aca="false">I339-COS(RADIANS(D339+E339/60+F339/3600))/SIN(RADIANS(D339+E339/60+F339/3600))*RADIANS(Q339/3600)/LN(10)</f>
        <v>9.939990947</v>
      </c>
      <c r="S339" s="65" t="n">
        <f aca="false">S340+R339-R340</f>
        <v>4.24956473215687</v>
      </c>
      <c r="T339" s="65" t="n">
        <f aca="false">T340+J339-J340</f>
        <v>4.24957432350423</v>
      </c>
      <c r="U339" s="67" t="n">
        <f aca="false">Summary!$C$6*ASIN(10^O339/Summary!$C$6)</f>
        <v>17765.5067209327</v>
      </c>
      <c r="V339" s="68" t="n">
        <v>17765.2057</v>
      </c>
      <c r="W339" s="69" t="n">
        <f aca="false">IF(V339="","",(V339-U339)*Summary!$C$7*1000)</f>
        <v>-586.700812615473</v>
      </c>
      <c r="X339" s="70" t="n">
        <f aca="false">U339*Summary!$C$7</f>
        <v>34625.62266542</v>
      </c>
      <c r="Y339" s="64"/>
    </row>
    <row r="340" customFormat="false" ht="15" hidden="false" customHeight="false" outlineLevel="0" collapsed="false">
      <c r="A340" s="72" t="n">
        <v>112</v>
      </c>
      <c r="B340" s="72" t="s">
        <v>415</v>
      </c>
      <c r="C340" s="72" t="s">
        <v>410</v>
      </c>
      <c r="D340" s="73" t="n">
        <v>33</v>
      </c>
      <c r="E340" s="73" t="n">
        <v>29</v>
      </c>
      <c r="F340" s="74" t="n">
        <v>6.39</v>
      </c>
      <c r="G340" s="74" t="n">
        <v>0.5</v>
      </c>
      <c r="H340" s="75" t="n">
        <v>9.7417189104</v>
      </c>
      <c r="I340" s="76" t="n">
        <f aca="false">H340</f>
        <v>9.7417189104</v>
      </c>
      <c r="J340" s="76" t="n">
        <f aca="false">10+LOG10(SIN(RADIANS(D340+E340/60+F340/3600)))</f>
        <v>9.74171891060189</v>
      </c>
      <c r="K340" s="77" t="n">
        <f aca="false">(I340-J340)*10000000000</f>
        <v>-2.01886507511517</v>
      </c>
      <c r="L340" s="78" t="s">
        <v>103</v>
      </c>
      <c r="M340" s="78" t="n">
        <v>111</v>
      </c>
      <c r="N340" s="79"/>
      <c r="O340" s="79" t="n">
        <f aca="false">O335</f>
        <v>4.05130342229999</v>
      </c>
      <c r="P340" s="80"/>
      <c r="Q340" s="73" t="n">
        <v>0</v>
      </c>
      <c r="R340" s="76" t="n">
        <f aca="false">I340-COS(RADIANS(D340+E340/60+F340/3600))/SIN(RADIANS(D340+E340/60+F340/3600))*RADIANS(Q340/3600)/LN(10)</f>
        <v>9.7417189104</v>
      </c>
      <c r="S340" s="79" t="n">
        <f aca="false">S335</f>
        <v>4.05129269555687</v>
      </c>
      <c r="T340" s="79" t="n">
        <f aca="false">T335</f>
        <v>4.05130228702427</v>
      </c>
      <c r="U340" s="81"/>
      <c r="V340" s="81"/>
      <c r="W340" s="82"/>
      <c r="X340" s="83"/>
      <c r="Y340" s="78"/>
    </row>
    <row r="341" customFormat="false" ht="15" hidden="false" customHeight="false" outlineLevel="0" collapsed="false">
      <c r="A341" s="5" t="n">
        <v>113</v>
      </c>
      <c r="B341" s="5" t="s">
        <v>412</v>
      </c>
      <c r="C341" s="5" t="s">
        <v>416</v>
      </c>
      <c r="D341" s="38" t="n">
        <v>61</v>
      </c>
      <c r="E341" s="38" t="n">
        <v>32</v>
      </c>
      <c r="F341" s="30" t="n">
        <v>52.59</v>
      </c>
      <c r="G341" s="30" t="n">
        <v>1.12</v>
      </c>
      <c r="H341" s="16" t="n">
        <v>9.9440956135</v>
      </c>
      <c r="I341" s="12" t="n">
        <f aca="false">H341</f>
        <v>9.9440956135</v>
      </c>
      <c r="J341" s="12" t="n">
        <f aca="false">10+LOG10(SIN(RADIANS(D341+E341/60+F341/3600)))</f>
        <v>9.94409561379218</v>
      </c>
      <c r="K341" s="25" t="n">
        <f aca="false">(I341-J341)*10000000000</f>
        <v>-2.92180502015071</v>
      </c>
      <c r="L341" s="39" t="s">
        <v>100</v>
      </c>
      <c r="N341" s="16" t="n">
        <v>4.3074476519</v>
      </c>
      <c r="O341" s="40" t="n">
        <f aca="false">O343+I341-I343</f>
        <v>4.30744765109999</v>
      </c>
      <c r="P341" s="41" t="n">
        <f aca="false">IF(N341="","",(O341-N341)*10000000000)</f>
        <v>-8.00011612511753</v>
      </c>
      <c r="Q341" s="38" t="n">
        <v>0</v>
      </c>
      <c r="R341" s="12" t="n">
        <f aca="false">I341-COS(RADIANS(D341+E341/60+F341/3600))/SIN(RADIANS(D341+E341/60+F341/3600))*RADIANS(Q341/3600)/LN(10)</f>
        <v>9.9440956135</v>
      </c>
      <c r="S341" s="40" t="n">
        <f aca="false">S343+R341-R343</f>
        <v>4.30743692435687</v>
      </c>
      <c r="T341" s="40" t="n">
        <f aca="false">T343+J341-J343</f>
        <v>4.30744651577129</v>
      </c>
      <c r="U341" s="42" t="n">
        <f aca="false">Summary!$C$6*ASIN(10^O341/Summary!$C$6)</f>
        <v>20297.8689933499</v>
      </c>
      <c r="V341" s="15" t="n">
        <v>20297.869</v>
      </c>
      <c r="W341" s="43" t="n">
        <f aca="false">IF(V341="","",(V341-U341)*Summary!$C$7*1000)</f>
        <v>0.012961383470506</v>
      </c>
      <c r="X341" s="44" t="n">
        <f aca="false">U341*Summary!$C$7</f>
        <v>39561.2893972643</v>
      </c>
      <c r="Y341" s="26" t="n">
        <f aca="false">(D341+D342+D343-180)*3600+(E341+E342+E343)*60+F341+F342+F343-(G341+G342+G343)</f>
        <v>0</v>
      </c>
    </row>
    <row r="342" customFormat="false" ht="15" hidden="false" customHeight="false" outlineLevel="0" collapsed="false">
      <c r="A342" s="5" t="n">
        <v>113</v>
      </c>
      <c r="B342" s="5" t="s">
        <v>415</v>
      </c>
      <c r="C342" s="5" t="s">
        <v>417</v>
      </c>
      <c r="D342" s="38" t="n">
        <v>56</v>
      </c>
      <c r="E342" s="38" t="n">
        <v>38</v>
      </c>
      <c r="F342" s="30" t="n">
        <v>53.57</v>
      </c>
      <c r="G342" s="30" t="n">
        <v>1.07</v>
      </c>
      <c r="H342" s="16" t="n">
        <v>9.9218480924</v>
      </c>
      <c r="I342" s="12" t="n">
        <f aca="false">H342</f>
        <v>9.9218480924</v>
      </c>
      <c r="J342" s="12" t="n">
        <f aca="false">10+LOG10(SIN(RADIANS(D342+E342/60+F342/3600)))</f>
        <v>9.92184809255768</v>
      </c>
      <c r="K342" s="25" t="n">
        <f aca="false">(I342-J342)*10000000000</f>
        <v>-1.57678314849363</v>
      </c>
      <c r="L342" s="39" t="s">
        <v>100</v>
      </c>
      <c r="N342" s="16" t="n">
        <v>4.2852001308</v>
      </c>
      <c r="O342" s="40" t="n">
        <f aca="false">O343+I342-I343</f>
        <v>4.28520012999999</v>
      </c>
      <c r="P342" s="41" t="n">
        <f aca="false">IF(N342="","",(O342-N342)*10000000000)</f>
        <v>-8.00012500690173</v>
      </c>
      <c r="Q342" s="38" t="n">
        <v>0</v>
      </c>
      <c r="R342" s="12" t="n">
        <f aca="false">I342-COS(RADIANS(D342+E342/60+F342/3600))/SIN(RADIANS(D342+E342/60+F342/3600))*RADIANS(Q342/3600)/LN(10)</f>
        <v>9.9218480924</v>
      </c>
      <c r="S342" s="40" t="n">
        <f aca="false">S343+R342-R343</f>
        <v>4.28518940325687</v>
      </c>
      <c r="T342" s="40" t="n">
        <f aca="false">T343+J342-J343</f>
        <v>4.28519899453679</v>
      </c>
      <c r="U342" s="42" t="n">
        <f aca="false">Summary!$C$6*ASIN(10^O342/Summary!$C$6)</f>
        <v>19284.2455129021</v>
      </c>
      <c r="V342" s="15" t="n">
        <v>19284.2456</v>
      </c>
      <c r="W342" s="43" t="n">
        <f aca="false">IF(V342="","",(V342-U342)*Summary!$C$7*1000)</f>
        <v>0.169756905855714</v>
      </c>
      <c r="X342" s="44" t="n">
        <f aca="false">U342*Summary!$C$7</f>
        <v>37585.7001438805</v>
      </c>
    </row>
    <row r="343" customFormat="false" ht="15" hidden="false" customHeight="false" outlineLevel="0" collapsed="false">
      <c r="A343" s="45" t="n">
        <v>113</v>
      </c>
      <c r="B343" s="45" t="s">
        <v>418</v>
      </c>
      <c r="C343" s="45" t="s">
        <v>413</v>
      </c>
      <c r="D343" s="46" t="n">
        <v>61</v>
      </c>
      <c r="E343" s="46" t="n">
        <v>48</v>
      </c>
      <c r="F343" s="47" t="n">
        <v>17.16</v>
      </c>
      <c r="G343" s="47" t="n">
        <v>1.13</v>
      </c>
      <c r="H343" s="48" t="n">
        <v>9.9451448422</v>
      </c>
      <c r="I343" s="49" t="n">
        <f aca="false">H343</f>
        <v>9.9451448422</v>
      </c>
      <c r="J343" s="49" t="n">
        <f aca="false">10+LOG10(SIN(RADIANS(D343+E343/60+F343/3600)))</f>
        <v>9.94514484243685</v>
      </c>
      <c r="K343" s="50" t="n">
        <f aca="false">(I343-J343)*10000000000</f>
        <v>-2.36848762824593</v>
      </c>
      <c r="L343" s="51" t="s">
        <v>103</v>
      </c>
      <c r="M343" s="51" t="n">
        <v>112</v>
      </c>
      <c r="N343" s="52"/>
      <c r="O343" s="52" t="n">
        <f aca="false">O338</f>
        <v>4.30849687979999</v>
      </c>
      <c r="P343" s="53"/>
      <c r="Q343" s="46" t="n">
        <v>0</v>
      </c>
      <c r="R343" s="49" t="n">
        <f aca="false">I343-COS(RADIANS(D343+E343/60+F343/3600))/SIN(RADIANS(D343+E343/60+F343/3600))*RADIANS(Q343/3600)/LN(10)</f>
        <v>9.9451448422</v>
      </c>
      <c r="S343" s="52" t="n">
        <f aca="false">S338</f>
        <v>4.30848615305687</v>
      </c>
      <c r="T343" s="52" t="n">
        <f aca="false">T338</f>
        <v>4.30849574441596</v>
      </c>
      <c r="U343" s="54"/>
      <c r="V343" s="54"/>
      <c r="W343" s="56"/>
      <c r="X343" s="57"/>
      <c r="Y343" s="51"/>
    </row>
    <row r="344" customFormat="false" ht="15" hidden="false" customHeight="false" outlineLevel="0" collapsed="false">
      <c r="A344" s="58" t="n">
        <v>114</v>
      </c>
      <c r="B344" s="58" t="s">
        <v>415</v>
      </c>
      <c r="C344" s="58" t="s">
        <v>419</v>
      </c>
      <c r="D344" s="59" t="n">
        <v>49</v>
      </c>
      <c r="E344" s="59" t="n">
        <v>35</v>
      </c>
      <c r="F344" s="60" t="n">
        <v>52.1</v>
      </c>
      <c r="G344" s="60" t="n">
        <v>0.2</v>
      </c>
      <c r="H344" s="61" t="n">
        <v>9.8816775975</v>
      </c>
      <c r="I344" s="62" t="n">
        <f aca="false">H344</f>
        <v>9.8816775975</v>
      </c>
      <c r="J344" s="62" t="n">
        <f aca="false">10+LOG10(SIN(RADIANS(D344+E344/60+F344/3600)))</f>
        <v>9.88167759761273</v>
      </c>
      <c r="K344" s="63" t="n">
        <f aca="false">(I344-J344)*10000000000</f>
        <v>-1.12731157742019</v>
      </c>
      <c r="L344" s="64" t="s">
        <v>100</v>
      </c>
      <c r="M344" s="64"/>
      <c r="N344" s="61" t="n">
        <v>4.2003738645</v>
      </c>
      <c r="O344" s="65" t="n">
        <f aca="false">O346+I344-I346</f>
        <v>4.20037386369999</v>
      </c>
      <c r="P344" s="66" t="n">
        <f aca="false">IF(N344="","",(O344-N344)*10000000000)</f>
        <v>-8.00013388868592</v>
      </c>
      <c r="Q344" s="59" t="n">
        <v>0</v>
      </c>
      <c r="R344" s="62" t="n">
        <f aca="false">I344-COS(RADIANS(D344+E344/60+F344/3600))/SIN(RADIANS(D344+E344/60+F344/3600))*RADIANS(Q344/3600)/LN(10)</f>
        <v>9.8816775975</v>
      </c>
      <c r="S344" s="65" t="n">
        <f aca="false">S346+R344-R346</f>
        <v>4.20036313695687</v>
      </c>
      <c r="T344" s="65" t="n">
        <f aca="false">T346+J344-J346</f>
        <v>4.20037272836457</v>
      </c>
      <c r="U344" s="67" t="n">
        <f aca="false">Summary!$C$6*ASIN(10^O344/Summary!$C$6)</f>
        <v>15862.6437260402</v>
      </c>
      <c r="V344" s="68" t="n">
        <v>15862.6438</v>
      </c>
      <c r="W344" s="69" t="n">
        <f aca="false">IF(V344="","",(V344-U344)*Summary!$C$7*1000)</f>
        <v>0.144150402431748</v>
      </c>
      <c r="X344" s="70" t="n">
        <f aca="false">U344*Summary!$C$7</f>
        <v>30916.8730597865</v>
      </c>
      <c r="Y344" s="71" t="n">
        <f aca="false">(D344+D345+D346-180)*3600+(E344+E345+E346)*60+F344+F345+F346-(G344+G345+G346)</f>
        <v>0</v>
      </c>
    </row>
    <row r="345" customFormat="false" ht="15" hidden="false" customHeight="false" outlineLevel="0" collapsed="false">
      <c r="A345" s="58" t="n">
        <v>114</v>
      </c>
      <c r="B345" s="58" t="s">
        <v>418</v>
      </c>
      <c r="C345" s="58" t="s">
        <v>420</v>
      </c>
      <c r="D345" s="59" t="n">
        <v>27</v>
      </c>
      <c r="E345" s="59" t="n">
        <v>25</v>
      </c>
      <c r="F345" s="60" t="n">
        <v>5.84</v>
      </c>
      <c r="G345" s="60" t="n">
        <v>0.29</v>
      </c>
      <c r="H345" s="61" t="n">
        <v>9.6632137455</v>
      </c>
      <c r="I345" s="62" t="n">
        <f aca="false">H345</f>
        <v>9.6632137455</v>
      </c>
      <c r="J345" s="62" t="n">
        <f aca="false">10+LOG10(SIN(RADIANS(D345+E345/60+F345/3600)))</f>
        <v>9.66321374612223</v>
      </c>
      <c r="K345" s="63" t="n">
        <f aca="false">(I345-J345)*10000000000</f>
        <v>-6.22231155489317</v>
      </c>
      <c r="L345" s="64" t="s">
        <v>100</v>
      </c>
      <c r="M345" s="64"/>
      <c r="N345" s="61" t="n">
        <v>3.9819100126</v>
      </c>
      <c r="O345" s="65" t="n">
        <f aca="false">O346+I345-I346</f>
        <v>3.98191001169999</v>
      </c>
      <c r="P345" s="66" t="n">
        <f aca="false">IF(N345="","",(O345-N345)*10000000000)</f>
        <v>-9.0001250896421</v>
      </c>
      <c r="Q345" s="59" t="n">
        <v>0</v>
      </c>
      <c r="R345" s="62" t="n">
        <f aca="false">I345-COS(RADIANS(D345+E345/60+F345/3600))/SIN(RADIANS(D345+E345/60+F345/3600))*RADIANS(Q345/3600)/LN(10)</f>
        <v>9.6632137455</v>
      </c>
      <c r="S345" s="65" t="n">
        <f aca="false">S346+R345-R346</f>
        <v>3.98189928495687</v>
      </c>
      <c r="T345" s="65" t="n">
        <f aca="false">T346+J345-J346</f>
        <v>3.98190887687407</v>
      </c>
      <c r="U345" s="67" t="n">
        <f aca="false">Summary!$C$6*ASIN(10^O345/Summary!$C$6)</f>
        <v>9592.03236913361</v>
      </c>
      <c r="V345" s="68" t="n">
        <v>9592.0324</v>
      </c>
      <c r="W345" s="69" t="n">
        <f aca="false">IF(V345="","",(V345-U345)*Summary!$C$7*1000)</f>
        <v>0.0601597152036293</v>
      </c>
      <c r="X345" s="70" t="n">
        <f aca="false">U345*Summary!$C$7</f>
        <v>18695.2220741767</v>
      </c>
      <c r="Y345" s="64"/>
    </row>
    <row r="346" customFormat="false" ht="15" hidden="false" customHeight="false" outlineLevel="0" collapsed="false">
      <c r="A346" s="72" t="n">
        <v>114</v>
      </c>
      <c r="B346" s="72" t="s">
        <v>421</v>
      </c>
      <c r="C346" s="72" t="s">
        <v>416</v>
      </c>
      <c r="D346" s="73" t="n">
        <v>102</v>
      </c>
      <c r="E346" s="73" t="n">
        <v>59</v>
      </c>
      <c r="F346" s="74" t="n">
        <v>3.49</v>
      </c>
      <c r="G346" s="74" t="n">
        <v>0.94</v>
      </c>
      <c r="H346" s="75" t="n">
        <v>9.9887513849</v>
      </c>
      <c r="I346" s="76" t="n">
        <f aca="false">H346</f>
        <v>9.9887513849</v>
      </c>
      <c r="J346" s="76" t="n">
        <f aca="false">10+LOG10(SIN(RADIANS(D346+E346/60+F346/3600)))</f>
        <v>9.98875138501945</v>
      </c>
      <c r="K346" s="77" t="n">
        <f aca="false">(I346-J346)*10000000000</f>
        <v>-1.19447562951791</v>
      </c>
      <c r="L346" s="78" t="s">
        <v>103</v>
      </c>
      <c r="M346" s="78" t="n">
        <v>113</v>
      </c>
      <c r="N346" s="79"/>
      <c r="O346" s="79" t="n">
        <f aca="false">O341</f>
        <v>4.30744765109999</v>
      </c>
      <c r="P346" s="80"/>
      <c r="Q346" s="73" t="n">
        <v>0</v>
      </c>
      <c r="R346" s="76" t="n">
        <f aca="false">I346-COS(RADIANS(D346+E346/60+F346/3600))/SIN(RADIANS(D346+E346/60+F346/3600))*RADIANS(Q346/3600)/LN(10)</f>
        <v>9.9887513849</v>
      </c>
      <c r="S346" s="79" t="n">
        <f aca="false">S341</f>
        <v>4.30743692435687</v>
      </c>
      <c r="T346" s="79" t="n">
        <f aca="false">T341</f>
        <v>4.30744651577129</v>
      </c>
      <c r="U346" s="81"/>
      <c r="V346" s="81"/>
      <c r="W346" s="82"/>
      <c r="X346" s="83"/>
      <c r="Y346" s="78"/>
    </row>
    <row r="347" customFormat="false" ht="15" hidden="false" customHeight="false" outlineLevel="0" collapsed="false">
      <c r="A347" s="5" t="n">
        <v>115</v>
      </c>
      <c r="B347" s="5" t="s">
        <v>415</v>
      </c>
      <c r="C347" s="5" t="s">
        <v>422</v>
      </c>
      <c r="D347" s="38" t="n">
        <v>28</v>
      </c>
      <c r="E347" s="38" t="n">
        <v>30</v>
      </c>
      <c r="F347" s="30" t="n">
        <v>4.95</v>
      </c>
      <c r="G347" s="30" t="n">
        <v>0.11</v>
      </c>
      <c r="H347" s="16" t="n">
        <v>9.678682096</v>
      </c>
      <c r="I347" s="12" t="n">
        <f aca="false">H347</f>
        <v>9.678682096</v>
      </c>
      <c r="J347" s="12" t="n">
        <f aca="false">10+LOG10(SIN(RADIANS(D347+E347/60+F347/3600)))</f>
        <v>9.67868209651653</v>
      </c>
      <c r="K347" s="25" t="n">
        <f aca="false">(I347-J347)*10000000000</f>
        <v>-5.16525489047126</v>
      </c>
      <c r="L347" s="39" t="s">
        <v>100</v>
      </c>
      <c r="N347" s="16" t="n">
        <v>3.6695306668</v>
      </c>
      <c r="O347" s="40" t="n">
        <f aca="false">O349+I347-I349</f>
        <v>3.66953066589999</v>
      </c>
      <c r="P347" s="41" t="n">
        <f aca="false">IF(N347="","",(O347-N347)*10000000000)</f>
        <v>-9.0001250896421</v>
      </c>
      <c r="Q347" s="38" t="n">
        <v>0</v>
      </c>
      <c r="R347" s="12" t="n">
        <f aca="false">I347-COS(RADIANS(D347+E347/60+F347/3600))/SIN(RADIANS(D347+E347/60+F347/3600))*RADIANS(Q347/3600)/LN(10)</f>
        <v>9.678682096</v>
      </c>
      <c r="S347" s="40" t="n">
        <f aca="false">S349+R347-R349</f>
        <v>3.66951993915687</v>
      </c>
      <c r="T347" s="40" t="n">
        <f aca="false">T349+J347-J349</f>
        <v>3.66952953145561</v>
      </c>
      <c r="U347" s="42" t="n">
        <f aca="false">Summary!$C$6*ASIN(10^O347/Summary!$C$6)</f>
        <v>4672.30100780464</v>
      </c>
      <c r="V347" s="15" t="n">
        <v>4672.301</v>
      </c>
      <c r="W347" s="43" t="n">
        <f aca="false">IF(V347="","",(V347-U347)*Summary!$C$7*1000)</f>
        <v>-0.0152115281800811</v>
      </c>
      <c r="X347" s="44" t="n">
        <f aca="false">U347*Summary!$C$7</f>
        <v>9106.48563065651</v>
      </c>
      <c r="Y347" s="26" t="n">
        <f aca="false">(D347+D348+D349-180)*3600+(E347+E348+E349)*60+F347+F348+F349-(G347+G348+G349)</f>
        <v>-3.44169137633799E-015</v>
      </c>
    </row>
    <row r="348" customFormat="false" ht="15" hidden="false" customHeight="false" outlineLevel="0" collapsed="false">
      <c r="A348" s="5" t="n">
        <v>115</v>
      </c>
      <c r="B348" s="5" t="s">
        <v>421</v>
      </c>
      <c r="C348" s="5" t="s">
        <v>423</v>
      </c>
      <c r="D348" s="38" t="n">
        <v>73</v>
      </c>
      <c r="E348" s="38" t="n">
        <v>5</v>
      </c>
      <c r="F348" s="30" t="n">
        <v>0.73</v>
      </c>
      <c r="G348" s="30" t="n">
        <v>0.14</v>
      </c>
      <c r="H348" s="16" t="n">
        <v>9.9807893974</v>
      </c>
      <c r="I348" s="12" t="n">
        <f aca="false">H348</f>
        <v>9.9807893974</v>
      </c>
      <c r="J348" s="12" t="n">
        <f aca="false">10+LOG10(SIN(RADIANS(D348+E348/60+F348/3600)))</f>
        <v>9.98078939750933</v>
      </c>
      <c r="K348" s="25" t="n">
        <f aca="false">(I348-J348)*10000000000</f>
        <v>-1.09331210751407</v>
      </c>
      <c r="L348" s="39" t="s">
        <v>100</v>
      </c>
      <c r="N348" s="16" t="n">
        <v>3.9716379682</v>
      </c>
      <c r="O348" s="40" t="n">
        <f aca="false">O349+I348-I349</f>
        <v>3.97163796729999</v>
      </c>
      <c r="P348" s="41" t="n">
        <f aca="false">IF(N348="","",(O348-N348)*10000000000)</f>
        <v>-9.0001117669658</v>
      </c>
      <c r="Q348" s="38" t="n">
        <v>0</v>
      </c>
      <c r="R348" s="12" t="n">
        <f aca="false">I348-COS(RADIANS(D348+E348/60+F348/3600))/SIN(RADIANS(D348+E348/60+F348/3600))*RADIANS(Q348/3600)/LN(10)</f>
        <v>9.9807893974</v>
      </c>
      <c r="S348" s="40" t="n">
        <f aca="false">S349+R348-R349</f>
        <v>3.97162724055687</v>
      </c>
      <c r="T348" s="40" t="n">
        <f aca="false">T349+J348-J349</f>
        <v>3.97163683244841</v>
      </c>
      <c r="U348" s="42" t="n">
        <f aca="false">Summary!$C$6*ASIN(10^O348/Summary!$C$6)</f>
        <v>9367.82054203587</v>
      </c>
      <c r="V348" s="15" t="n">
        <v>9367.8206</v>
      </c>
      <c r="W348" s="43" t="n">
        <f aca="false">IF(V348="","",(V348-U348)*Summary!$C$7*1000)</f>
        <v>0.112974205171839</v>
      </c>
      <c r="X348" s="44" t="n">
        <f aca="false">U348*Summary!$C$7</f>
        <v>18258.2250189189</v>
      </c>
    </row>
    <row r="349" customFormat="false" ht="15" hidden="false" customHeight="false" outlineLevel="0" collapsed="false">
      <c r="A349" s="45" t="n">
        <v>115</v>
      </c>
      <c r="B349" s="45" t="s">
        <v>424</v>
      </c>
      <c r="C349" s="45" t="s">
        <v>420</v>
      </c>
      <c r="D349" s="46" t="n">
        <v>78</v>
      </c>
      <c r="E349" s="46" t="n">
        <v>24</v>
      </c>
      <c r="F349" s="47" t="n">
        <v>54.73</v>
      </c>
      <c r="G349" s="47" t="n">
        <v>0.16</v>
      </c>
      <c r="H349" s="48" t="n">
        <v>9.9910614418</v>
      </c>
      <c r="I349" s="49" t="n">
        <f aca="false">H349</f>
        <v>9.9910614418</v>
      </c>
      <c r="J349" s="49" t="n">
        <f aca="false">10+LOG10(SIN(RADIANS(D349+E349/60+F349/3600)))</f>
        <v>9.99106144193499</v>
      </c>
      <c r="K349" s="50" t="n">
        <f aca="false">(I349-J349)*10000000000</f>
        <v>-1.34990685296543</v>
      </c>
      <c r="L349" s="51" t="s">
        <v>103</v>
      </c>
      <c r="M349" s="51" t="n">
        <v>114</v>
      </c>
      <c r="N349" s="52"/>
      <c r="O349" s="52" t="n">
        <f aca="false">O345</f>
        <v>3.98191001169999</v>
      </c>
      <c r="P349" s="53"/>
      <c r="Q349" s="46" t="n">
        <v>0</v>
      </c>
      <c r="R349" s="49" t="n">
        <f aca="false">I349-COS(RADIANS(D349+E349/60+F349/3600))/SIN(RADIANS(D349+E349/60+F349/3600))*RADIANS(Q349/3600)/LN(10)</f>
        <v>9.9910614418</v>
      </c>
      <c r="S349" s="52" t="n">
        <f aca="false">S345</f>
        <v>3.98189928495687</v>
      </c>
      <c r="T349" s="52" t="n">
        <f aca="false">T345</f>
        <v>3.98190887687407</v>
      </c>
      <c r="U349" s="54"/>
      <c r="V349" s="54"/>
      <c r="W349" s="56"/>
      <c r="X349" s="57"/>
      <c r="Y349" s="5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12"/>
    <col collapsed="false" customWidth="true" hidden="false" outlineLevel="0" max="4" min="4" style="0" width="110"/>
  </cols>
  <sheetData>
    <row r="1" customFormat="false" ht="15" hidden="false" customHeight="false" outlineLevel="0" collapsed="false">
      <c r="A1" s="85" t="s">
        <v>49</v>
      </c>
      <c r="B1" s="85" t="s">
        <v>425</v>
      </c>
      <c r="C1" s="85" t="s">
        <v>426</v>
      </c>
      <c r="D1" s="85" t="s">
        <v>427</v>
      </c>
    </row>
    <row r="2" customFormat="false" ht="15" hidden="false" customHeight="false" outlineLevel="0" collapsed="false">
      <c r="A2" s="86" t="n">
        <v>34</v>
      </c>
      <c r="B2" s="86" t="s">
        <v>179</v>
      </c>
      <c r="C2" s="86" t="s">
        <v>428</v>
      </c>
      <c r="D2" s="86" t="s">
        <v>429</v>
      </c>
    </row>
    <row r="3" customFormat="false" ht="26.85" hidden="false" customHeight="false" outlineLevel="0" collapsed="false">
      <c r="A3" s="86" t="n">
        <v>38</v>
      </c>
      <c r="B3" s="86" t="s">
        <v>189</v>
      </c>
      <c r="C3" s="86" t="s">
        <v>428</v>
      </c>
      <c r="D3" s="86" t="s">
        <v>430</v>
      </c>
    </row>
    <row r="4" customFormat="false" ht="26.85" hidden="false" customHeight="false" outlineLevel="0" collapsed="false">
      <c r="A4" s="86" t="n">
        <v>40</v>
      </c>
      <c r="B4" s="86" t="s">
        <v>195</v>
      </c>
      <c r="C4" s="86" t="s">
        <v>431</v>
      </c>
      <c r="D4" s="86" t="s">
        <v>432</v>
      </c>
    </row>
    <row r="5" customFormat="false" ht="26.85" hidden="false" customHeight="false" outlineLevel="0" collapsed="false">
      <c r="A5" s="86" t="n">
        <v>41</v>
      </c>
      <c r="B5" s="86" t="s">
        <v>198</v>
      </c>
      <c r="C5" s="86" t="s">
        <v>428</v>
      </c>
      <c r="D5" s="86" t="s">
        <v>433</v>
      </c>
    </row>
    <row r="6" customFormat="false" ht="26.85" hidden="false" customHeight="false" outlineLevel="0" collapsed="false">
      <c r="A6" s="86" t="n">
        <v>44</v>
      </c>
      <c r="B6" s="86" t="s">
        <v>204</v>
      </c>
      <c r="C6" s="86" t="s">
        <v>428</v>
      </c>
      <c r="D6" s="86" t="s">
        <v>434</v>
      </c>
    </row>
    <row r="7" customFormat="false" ht="26.85" hidden="false" customHeight="false" outlineLevel="0" collapsed="false">
      <c r="A7" s="86" t="n">
        <v>50</v>
      </c>
      <c r="B7" s="86" t="s">
        <v>231</v>
      </c>
      <c r="C7" s="86" t="s">
        <v>435</v>
      </c>
      <c r="D7" s="86" t="s">
        <v>436</v>
      </c>
    </row>
    <row r="8" customFormat="false" ht="26.85" hidden="false" customHeight="false" outlineLevel="0" collapsed="false">
      <c r="A8" s="86" t="n">
        <v>51</v>
      </c>
      <c r="B8" s="86" t="s">
        <v>234</v>
      </c>
      <c r="C8" s="86" t="s">
        <v>435</v>
      </c>
      <c r="D8" s="86" t="s">
        <v>437</v>
      </c>
    </row>
    <row r="9" customFormat="false" ht="15" hidden="false" customHeight="false" outlineLevel="0" collapsed="false">
      <c r="A9" s="86" t="n">
        <v>52</v>
      </c>
      <c r="B9" s="86" t="s">
        <v>228</v>
      </c>
      <c r="C9" s="86" t="s">
        <v>435</v>
      </c>
      <c r="D9" s="86" t="s">
        <v>438</v>
      </c>
    </row>
    <row r="10" customFormat="false" ht="26.85" hidden="false" customHeight="false" outlineLevel="0" collapsed="false">
      <c r="A10" s="86" t="n">
        <v>53</v>
      </c>
      <c r="B10" s="86" t="s">
        <v>240</v>
      </c>
      <c r="C10" s="86" t="s">
        <v>435</v>
      </c>
      <c r="D10" s="86" t="s">
        <v>439</v>
      </c>
    </row>
    <row r="11" customFormat="false" ht="15" hidden="false" customHeight="false" outlineLevel="0" collapsed="false">
      <c r="A11" s="86" t="n">
        <v>54</v>
      </c>
      <c r="B11" s="86" t="s">
        <v>240</v>
      </c>
      <c r="C11" s="86" t="s">
        <v>435</v>
      </c>
      <c r="D11" s="86" t="s">
        <v>440</v>
      </c>
    </row>
    <row r="12" customFormat="false" ht="26.85" hidden="false" customHeight="false" outlineLevel="0" collapsed="false">
      <c r="A12" s="86" t="n">
        <v>55</v>
      </c>
      <c r="B12" s="86" t="s">
        <v>240</v>
      </c>
      <c r="C12" s="86" t="s">
        <v>428</v>
      </c>
      <c r="D12" s="86" t="s">
        <v>441</v>
      </c>
    </row>
    <row r="13" customFormat="false" ht="15" hidden="false" customHeight="false" outlineLevel="0" collapsed="false">
      <c r="A13" s="86" t="n">
        <v>56</v>
      </c>
      <c r="B13" s="86" t="s">
        <v>246</v>
      </c>
      <c r="C13" s="86" t="s">
        <v>428</v>
      </c>
      <c r="D13" s="86" t="s">
        <v>442</v>
      </c>
    </row>
    <row r="14" customFormat="false" ht="26.85" hidden="false" customHeight="false" outlineLevel="0" collapsed="false">
      <c r="A14" s="86" t="n">
        <v>59</v>
      </c>
      <c r="B14" s="86" t="s">
        <v>257</v>
      </c>
      <c r="C14" s="86" t="s">
        <v>103</v>
      </c>
      <c r="D14" s="86" t="s">
        <v>443</v>
      </c>
    </row>
    <row r="15" customFormat="false" ht="15" hidden="false" customHeight="false" outlineLevel="0" collapsed="false">
      <c r="A15" s="86" t="n">
        <v>60</v>
      </c>
      <c r="B15" s="86" t="s">
        <v>249</v>
      </c>
      <c r="C15" s="86" t="s">
        <v>428</v>
      </c>
      <c r="D15" s="86" t="s">
        <v>444</v>
      </c>
    </row>
    <row r="16" customFormat="false" ht="26.85" hidden="false" customHeight="false" outlineLevel="0" collapsed="false">
      <c r="A16" s="86" t="n">
        <v>61</v>
      </c>
      <c r="B16" s="86" t="s">
        <v>263</v>
      </c>
      <c r="C16" s="86" t="s">
        <v>435</v>
      </c>
      <c r="D16" s="86" t="s">
        <v>445</v>
      </c>
    </row>
    <row r="17" customFormat="false" ht="26.85" hidden="false" customHeight="false" outlineLevel="0" collapsed="false">
      <c r="A17" s="86" t="n">
        <v>61</v>
      </c>
      <c r="B17" s="86" t="s">
        <v>255</v>
      </c>
      <c r="C17" s="86" t="s">
        <v>428</v>
      </c>
      <c r="D17" s="86" t="s">
        <v>446</v>
      </c>
    </row>
    <row r="18" customFormat="false" ht="15" hidden="false" customHeight="false" outlineLevel="0" collapsed="false">
      <c r="A18" s="86" t="n">
        <v>63</v>
      </c>
      <c r="B18" s="86" t="s">
        <v>266</v>
      </c>
      <c r="C18" s="86" t="s">
        <v>435</v>
      </c>
      <c r="D18" s="86" t="s">
        <v>447</v>
      </c>
    </row>
    <row r="19" customFormat="false" ht="26.85" hidden="false" customHeight="false" outlineLevel="0" collapsed="false">
      <c r="A19" s="86" t="n">
        <v>64</v>
      </c>
      <c r="B19" s="86" t="s">
        <v>266</v>
      </c>
      <c r="C19" s="86" t="s">
        <v>428</v>
      </c>
      <c r="D19" s="86" t="s">
        <v>448</v>
      </c>
    </row>
    <row r="20" customFormat="false" ht="15" hidden="false" customHeight="false" outlineLevel="0" collapsed="false">
      <c r="A20" s="86" t="n">
        <v>66</v>
      </c>
      <c r="B20" s="86" t="s">
        <v>273</v>
      </c>
      <c r="C20" s="86" t="s">
        <v>428</v>
      </c>
      <c r="D20" s="86" t="s">
        <v>449</v>
      </c>
    </row>
    <row r="21" customFormat="false" ht="15" hidden="false" customHeight="false" outlineLevel="0" collapsed="false">
      <c r="A21" s="86" t="n">
        <v>86</v>
      </c>
      <c r="B21" s="86" t="s">
        <v>336</v>
      </c>
      <c r="C21" s="86" t="s">
        <v>450</v>
      </c>
      <c r="D21" s="86" t="s">
        <v>451</v>
      </c>
    </row>
    <row r="22" customFormat="false" ht="26.85" hidden="false" customHeight="false" outlineLevel="0" collapsed="false">
      <c r="A22" s="86" t="n">
        <v>87</v>
      </c>
      <c r="B22" s="86" t="s">
        <v>336</v>
      </c>
      <c r="C22" s="86" t="s">
        <v>428</v>
      </c>
      <c r="D22" s="86" t="s">
        <v>452</v>
      </c>
    </row>
    <row r="23" customFormat="false" ht="15" hidden="false" customHeight="false" outlineLevel="0" collapsed="false">
      <c r="A23" s="86" t="n">
        <v>88</v>
      </c>
      <c r="B23" s="86" t="s">
        <v>336</v>
      </c>
      <c r="C23" s="86" t="s">
        <v>428</v>
      </c>
      <c r="D23" s="86" t="s">
        <v>453</v>
      </c>
    </row>
    <row r="24" customFormat="false" ht="15" hidden="false" customHeight="false" outlineLevel="0" collapsed="false">
      <c r="A24" s="86" t="n">
        <v>102</v>
      </c>
      <c r="B24" s="86" t="s">
        <v>379</v>
      </c>
      <c r="C24" s="86" t="s">
        <v>428</v>
      </c>
      <c r="D24" s="86" t="s">
        <v>454</v>
      </c>
    </row>
    <row r="25" customFormat="false" ht="15" hidden="false" customHeight="false" outlineLevel="0" collapsed="false">
      <c r="A25" s="86" t="n">
        <v>109</v>
      </c>
      <c r="B25" s="86" t="s">
        <v>403</v>
      </c>
      <c r="C25" s="86" t="s">
        <v>428</v>
      </c>
      <c r="D25" s="86" t="s">
        <v>455</v>
      </c>
    </row>
    <row r="26" customFormat="false" ht="26.85" hidden="false" customHeight="false" outlineLevel="0" collapsed="false">
      <c r="A26" s="86" t="n">
        <v>112</v>
      </c>
      <c r="B26" s="86" t="s">
        <v>409</v>
      </c>
      <c r="C26" s="86" t="s">
        <v>428</v>
      </c>
      <c r="D26" s="86" t="s">
        <v>456</v>
      </c>
    </row>
    <row r="27" customFormat="false" ht="26.85" hidden="false" customHeight="false" outlineLevel="0" collapsed="false">
      <c r="A27" s="86" t="n">
        <v>112</v>
      </c>
      <c r="B27" s="86" t="s">
        <v>412</v>
      </c>
      <c r="C27" s="86" t="s">
        <v>428</v>
      </c>
      <c r="D27" s="86" t="s">
        <v>457</v>
      </c>
    </row>
    <row r="28" customFormat="false" ht="15" hidden="false" customHeight="false" outlineLevel="0" collapsed="false">
      <c r="A28" s="86" t="n">
        <v>92</v>
      </c>
      <c r="B28" s="86" t="s">
        <v>352</v>
      </c>
      <c r="C28" s="86" t="s">
        <v>428</v>
      </c>
      <c r="D28" s="86" t="s">
        <v>458</v>
      </c>
    </row>
    <row r="29" customFormat="false" ht="15" hidden="false" customHeight="false" outlineLevel="0" collapsed="false">
      <c r="A29" s="86" t="n">
        <v>96</v>
      </c>
      <c r="B29" s="86" t="s">
        <v>358</v>
      </c>
      <c r="C29" s="86" t="s">
        <v>428</v>
      </c>
      <c r="D29" s="86" t="s">
        <v>459</v>
      </c>
    </row>
    <row r="30" customFormat="false" ht="15" hidden="false" customHeight="false" outlineLevel="0" collapsed="false">
      <c r="A30" s="86" t="n">
        <v>98</v>
      </c>
      <c r="B30" s="86" t="s">
        <v>367</v>
      </c>
      <c r="C30" s="86" t="s">
        <v>428</v>
      </c>
      <c r="D30" s="86" t="s">
        <v>460</v>
      </c>
    </row>
    <row r="31" customFormat="false" ht="15" hidden="false" customHeight="false" outlineLevel="0" collapsed="false">
      <c r="A31" s="86" t="n">
        <v>98</v>
      </c>
      <c r="B31" s="86" t="s">
        <v>370</v>
      </c>
      <c r="C31" s="86" t="s">
        <v>428</v>
      </c>
      <c r="D31" s="86" t="s">
        <v>461</v>
      </c>
    </row>
    <row r="32" customFormat="false" ht="15" hidden="false" customHeight="false" outlineLevel="0" collapsed="false">
      <c r="A32" s="86" t="n">
        <v>99</v>
      </c>
      <c r="B32" s="86" t="s">
        <v>370</v>
      </c>
      <c r="C32" s="86" t="s">
        <v>428</v>
      </c>
      <c r="D32" s="86" t="s">
        <v>462</v>
      </c>
    </row>
    <row r="33" customFormat="false" ht="26.85" hidden="false" customHeight="false" outlineLevel="0" collapsed="false">
      <c r="A33" s="86" t="n">
        <v>43</v>
      </c>
      <c r="B33" s="86" t="s">
        <v>204</v>
      </c>
      <c r="C33" s="86" t="s">
        <v>14</v>
      </c>
      <c r="D33" s="86" t="s">
        <v>463</v>
      </c>
    </row>
    <row r="35" customFormat="false" ht="15" hidden="false" customHeight="true" outlineLevel="0" collapsed="false">
      <c r="A35" s="87" t="s">
        <v>464</v>
      </c>
      <c r="B35" s="87"/>
      <c r="C35" s="87"/>
      <c r="D35" s="87"/>
    </row>
    <row r="36" customFormat="false" ht="61.5" hidden="false" customHeight="true" outlineLevel="0" collapsed="false">
      <c r="A36" s="88" t="s">
        <v>465</v>
      </c>
      <c r="B36" s="88"/>
      <c r="C36" s="88"/>
      <c r="D36" s="88"/>
    </row>
    <row r="37" customFormat="false" ht="61.5" hidden="false" customHeight="true" outlineLevel="0" collapsed="false">
      <c r="A37" s="88" t="s">
        <v>466</v>
      </c>
      <c r="B37" s="88"/>
      <c r="C37" s="88"/>
      <c r="D37" s="88"/>
    </row>
    <row r="38" customFormat="false" ht="61.5" hidden="false" customHeight="true" outlineLevel="0" collapsed="false">
      <c r="A38" s="88" t="s">
        <v>467</v>
      </c>
      <c r="B38" s="88"/>
      <c r="C38" s="88"/>
      <c r="D38" s="88"/>
    </row>
  </sheetData>
  <mergeCells count="4">
    <mergeCell ref="A35:D35"/>
    <mergeCell ref="A36:D36"/>
    <mergeCell ref="A37:D37"/>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2026-10-22T18:56:40Z</dcterms:created>
  <dc:creator>openpyxl</dc:creator>
  <dc:description/>
  <dc:language>en-US</dc:language>
  <cp:lastModifiedBy/>
  <dcterms:modified xsi:type="dcterms:W3CDTF">2026-10-22T18:56:40Z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